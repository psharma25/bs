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psharma/Downloads/"/>
    </mc:Choice>
  </mc:AlternateContent>
  <xr:revisionPtr revIDLastSave="0" documentId="13_ncr:1_{F2BEC001-EB8B-124C-9E08-FA53B264C166}" xr6:coauthVersionLast="47" xr6:coauthVersionMax="47" xr10:uidLastSave="{00000000-0000-0000-0000-000000000000}"/>
  <bookViews>
    <workbookView xWindow="2440" yWindow="880" windowWidth="31540" windowHeight="18560" tabRatio="500" firstSheet="2" activeTab="14" xr2:uid="{00000000-000D-0000-FFFF-FFFF00000000}"/>
  </bookViews>
  <sheets>
    <sheet name="Dashboard" sheetId="1" r:id="rId1"/>
    <sheet name="Read Me" sheetId="2" r:id="rId2"/>
    <sheet name="CC1 Controls" sheetId="3" r:id="rId3"/>
    <sheet name="CC2 Controls" sheetId="4" r:id="rId4"/>
    <sheet name="CC3 Controls" sheetId="5" r:id="rId5"/>
    <sheet name="CC4 Controls" sheetId="6" r:id="rId6"/>
    <sheet name="CC5 Controls" sheetId="7" r:id="rId7"/>
    <sheet name="CC6 Controls" sheetId="8" r:id="rId8"/>
    <sheet name="CC7 Controls" sheetId="9" r:id="rId9"/>
    <sheet name="CC8 Controls" sheetId="10" r:id="rId10"/>
    <sheet name="CC9 Controls" sheetId="11" r:id="rId11"/>
    <sheet name="Setup" sheetId="12" r:id="rId12"/>
    <sheet name="Governance Log" sheetId="13" r:id="rId13"/>
    <sheet name="Calendar" sheetId="14" r:id="rId14"/>
    <sheet name="Policy Mapping" sheetId="15" r:id="rId15"/>
  </sheets>
  <definedNames>
    <definedName name="_xlnm._FilterDatabase" localSheetId="14" hidden="1">'Policy Mapping'!$A$5:$I$35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15" l="1"/>
  <c r="B49" i="15"/>
  <c r="A49" i="15"/>
  <c r="D48" i="15"/>
  <c r="B48" i="15"/>
  <c r="A48" i="15"/>
  <c r="D47" i="15"/>
  <c r="B47" i="15"/>
  <c r="A47" i="15"/>
  <c r="D46" i="15"/>
  <c r="B46" i="15"/>
  <c r="A46" i="15"/>
  <c r="D45" i="15"/>
  <c r="B45" i="15"/>
  <c r="A45" i="15"/>
  <c r="D44" i="15"/>
  <c r="B44" i="15"/>
  <c r="A44" i="15"/>
  <c r="D43" i="15"/>
  <c r="B43" i="15"/>
  <c r="A43" i="15"/>
  <c r="D42" i="15"/>
  <c r="B42" i="15"/>
  <c r="A42" i="15"/>
  <c r="D41" i="15"/>
  <c r="B41" i="15"/>
  <c r="A41" i="15"/>
  <c r="D40" i="15"/>
  <c r="B40" i="15"/>
  <c r="A40" i="15"/>
  <c r="D39" i="15"/>
  <c r="B39" i="15"/>
  <c r="A39" i="15"/>
  <c r="K16" i="11"/>
  <c r="K15" i="11"/>
  <c r="K14" i="11"/>
  <c r="K13" i="11"/>
  <c r="K12" i="11"/>
  <c r="K11" i="11"/>
  <c r="J11" i="11"/>
  <c r="K10" i="11"/>
  <c r="K9" i="11"/>
  <c r="K8" i="11"/>
  <c r="K7" i="11"/>
  <c r="K6" i="11"/>
  <c r="K5" i="11"/>
  <c r="J5" i="11"/>
  <c r="K12" i="10"/>
  <c r="K11" i="10"/>
  <c r="K10" i="10"/>
  <c r="K9" i="10"/>
  <c r="K8" i="10"/>
  <c r="K7" i="10"/>
  <c r="K6" i="10"/>
  <c r="K5" i="10"/>
  <c r="J5" i="10"/>
  <c r="K30" i="9"/>
  <c r="K29" i="9"/>
  <c r="K28" i="9"/>
  <c r="K27" i="9"/>
  <c r="K26" i="9"/>
  <c r="J26" i="9"/>
  <c r="K25" i="9"/>
  <c r="K24" i="9"/>
  <c r="K23" i="9"/>
  <c r="K22" i="9"/>
  <c r="K21" i="9"/>
  <c r="K20" i="9"/>
  <c r="J20" i="9"/>
  <c r="K19" i="9"/>
  <c r="K18" i="9"/>
  <c r="K17" i="9"/>
  <c r="K16" i="9"/>
  <c r="K15" i="9"/>
  <c r="J15" i="9"/>
  <c r="K14" i="9"/>
  <c r="K13" i="9"/>
  <c r="K12" i="9"/>
  <c r="K11" i="9"/>
  <c r="K10" i="9"/>
  <c r="J10" i="9"/>
  <c r="K9" i="9"/>
  <c r="K8" i="9"/>
  <c r="K7" i="9"/>
  <c r="K6" i="9"/>
  <c r="K5" i="9"/>
  <c r="J5" i="9"/>
  <c r="K44" i="8"/>
  <c r="K43" i="8"/>
  <c r="K42" i="8"/>
  <c r="K41" i="8"/>
  <c r="J41" i="8"/>
  <c r="K40" i="8"/>
  <c r="K39" i="8"/>
  <c r="K38" i="8"/>
  <c r="K37" i="8"/>
  <c r="K36" i="8"/>
  <c r="J36" i="8"/>
  <c r="K35" i="8"/>
  <c r="K34" i="8"/>
  <c r="K33" i="8"/>
  <c r="K32" i="8"/>
  <c r="K31" i="8"/>
  <c r="J31" i="8"/>
  <c r="K30" i="8"/>
  <c r="K29" i="8"/>
  <c r="K28" i="8"/>
  <c r="K27" i="8"/>
  <c r="J27" i="8"/>
  <c r="K26" i="8"/>
  <c r="K25" i="8"/>
  <c r="K24" i="8"/>
  <c r="K23" i="8"/>
  <c r="K22" i="8"/>
  <c r="J22" i="8"/>
  <c r="K21" i="8"/>
  <c r="K20" i="8"/>
  <c r="K19" i="8"/>
  <c r="K18" i="8"/>
  <c r="K17" i="8"/>
  <c r="K16" i="8"/>
  <c r="J16" i="8"/>
  <c r="K15" i="8"/>
  <c r="K14" i="8"/>
  <c r="K13" i="8"/>
  <c r="K12" i="8"/>
  <c r="K11" i="8"/>
  <c r="J11" i="8"/>
  <c r="K10" i="8"/>
  <c r="K9" i="8"/>
  <c r="K8" i="8"/>
  <c r="K7" i="8"/>
  <c r="K6" i="8"/>
  <c r="K5" i="8"/>
  <c r="J5" i="8"/>
  <c r="K19" i="7"/>
  <c r="K18" i="7"/>
  <c r="K17" i="7"/>
  <c r="K16" i="7"/>
  <c r="K15" i="7"/>
  <c r="J15" i="7"/>
  <c r="K14" i="7"/>
  <c r="K13" i="7"/>
  <c r="K12" i="7"/>
  <c r="K11" i="7"/>
  <c r="K10" i="7"/>
  <c r="J10" i="7"/>
  <c r="K9" i="7"/>
  <c r="K8" i="7"/>
  <c r="K7" i="7"/>
  <c r="K6" i="7"/>
  <c r="K5" i="7"/>
  <c r="J5" i="7"/>
  <c r="K19" i="6"/>
  <c r="K18" i="6"/>
  <c r="K17" i="6"/>
  <c r="K16" i="6"/>
  <c r="K15" i="6"/>
  <c r="K14" i="6"/>
  <c r="K13" i="6"/>
  <c r="J13" i="6"/>
  <c r="K12" i="6"/>
  <c r="K11" i="6"/>
  <c r="K10" i="6"/>
  <c r="K9" i="6"/>
  <c r="K8" i="6"/>
  <c r="K7" i="6"/>
  <c r="K6" i="6"/>
  <c r="K5" i="6"/>
  <c r="J5" i="6"/>
  <c r="K28" i="5"/>
  <c r="K27" i="5"/>
  <c r="K26" i="5"/>
  <c r="K25" i="5"/>
  <c r="K24" i="5"/>
  <c r="J24" i="5"/>
  <c r="K23" i="5"/>
  <c r="K22" i="5"/>
  <c r="K21" i="5"/>
  <c r="K20" i="5"/>
  <c r="K19" i="5"/>
  <c r="J19" i="5"/>
  <c r="K18" i="5"/>
  <c r="K17" i="5"/>
  <c r="K16" i="5"/>
  <c r="K15" i="5"/>
  <c r="K14" i="5"/>
  <c r="K13" i="5"/>
  <c r="K12" i="5"/>
  <c r="K11" i="5"/>
  <c r="J11" i="5"/>
  <c r="K10" i="5"/>
  <c r="K9" i="5"/>
  <c r="K8" i="5"/>
  <c r="K7" i="5"/>
  <c r="K6" i="5"/>
  <c r="K5" i="5"/>
  <c r="J5" i="5"/>
  <c r="K24" i="4"/>
  <c r="K23" i="4"/>
  <c r="K22" i="4"/>
  <c r="K21" i="4"/>
  <c r="K20" i="4"/>
  <c r="K19" i="4"/>
  <c r="K18" i="4"/>
  <c r="J18" i="4"/>
  <c r="K17" i="4"/>
  <c r="K16" i="4"/>
  <c r="K15" i="4"/>
  <c r="K14" i="4"/>
  <c r="K13" i="4"/>
  <c r="K12" i="4"/>
  <c r="K11" i="4"/>
  <c r="J11" i="4"/>
  <c r="K10" i="4"/>
  <c r="K9" i="4"/>
  <c r="K8" i="4"/>
  <c r="K7" i="4"/>
  <c r="K6" i="4"/>
  <c r="K5" i="4"/>
  <c r="J5" i="4"/>
  <c r="K39" i="3"/>
  <c r="K38" i="3"/>
  <c r="K37" i="3"/>
  <c r="K36" i="3"/>
  <c r="K35" i="3"/>
  <c r="K34" i="3"/>
  <c r="J34" i="3"/>
  <c r="K33" i="3"/>
  <c r="K32" i="3"/>
  <c r="K31" i="3"/>
  <c r="K30" i="3"/>
  <c r="K29" i="3"/>
  <c r="K28" i="3"/>
  <c r="K27" i="3"/>
  <c r="J27" i="3"/>
  <c r="K26" i="3"/>
  <c r="K25" i="3"/>
  <c r="K24" i="3"/>
  <c r="K23" i="3"/>
  <c r="K22" i="3"/>
  <c r="K21" i="3"/>
  <c r="J21" i="3"/>
  <c r="K19" i="3"/>
  <c r="K18" i="3"/>
  <c r="K17" i="3"/>
  <c r="K16" i="3"/>
  <c r="K15" i="3"/>
  <c r="K14" i="3"/>
  <c r="K12" i="3"/>
  <c r="J12" i="3"/>
  <c r="K11" i="3"/>
  <c r="K10" i="3"/>
  <c r="K9" i="3"/>
  <c r="K8" i="3"/>
  <c r="K7" i="3"/>
  <c r="K6" i="3"/>
  <c r="K5" i="3"/>
  <c r="J5" i="3"/>
  <c r="D98" i="2"/>
  <c r="C98" i="2"/>
  <c r="D97" i="2"/>
  <c r="C97" i="2"/>
  <c r="D96" i="2"/>
  <c r="C96" i="2"/>
  <c r="D95" i="2"/>
  <c r="C95" i="2"/>
  <c r="D94" i="2"/>
  <c r="C94" i="2"/>
  <c r="D93" i="2"/>
  <c r="C93" i="2"/>
  <c r="D92" i="2"/>
  <c r="C92" i="2"/>
  <c r="D91" i="2"/>
  <c r="C91" i="2"/>
  <c r="D90" i="2"/>
  <c r="C90" i="2"/>
  <c r="D89" i="2"/>
  <c r="C89" i="2"/>
  <c r="D88" i="2"/>
  <c r="C88" i="2"/>
  <c r="D87" i="2"/>
  <c r="C87" i="2"/>
  <c r="D86" i="2"/>
  <c r="C86" i="2"/>
  <c r="D85" i="2"/>
  <c r="C85" i="2"/>
  <c r="D84" i="2"/>
  <c r="C84" i="2"/>
  <c r="D83" i="2"/>
  <c r="C83" i="2"/>
  <c r="D82" i="2"/>
  <c r="C82" i="2"/>
  <c r="D81" i="2"/>
  <c r="C81" i="2"/>
  <c r="D80" i="2"/>
  <c r="C80" i="2"/>
  <c r="D79" i="2"/>
  <c r="C79" i="2"/>
  <c r="D78" i="2"/>
  <c r="C78" i="2"/>
  <c r="D77" i="2"/>
  <c r="C77" i="2"/>
  <c r="D76" i="2"/>
  <c r="C76" i="2"/>
  <c r="D75" i="2"/>
  <c r="C75" i="2"/>
  <c r="D74" i="2"/>
  <c r="C74" i="2"/>
  <c r="D73" i="2"/>
  <c r="C73" i="2"/>
  <c r="D72" i="2"/>
  <c r="C72" i="2"/>
  <c r="D71" i="2"/>
  <c r="C71" i="2"/>
  <c r="D70" i="2"/>
  <c r="C70" i="2"/>
  <c r="D69" i="2"/>
  <c r="C69" i="2"/>
  <c r="D68" i="2"/>
  <c r="C68" i="2"/>
  <c r="D67" i="2"/>
  <c r="C67" i="2"/>
  <c r="D66" i="2"/>
  <c r="C66" i="2"/>
  <c r="D65" i="2"/>
  <c r="C65" i="2"/>
  <c r="D64" i="2"/>
  <c r="C64" i="2"/>
  <c r="D63" i="2"/>
  <c r="C63" i="2"/>
  <c r="D62" i="2"/>
  <c r="C62" i="2"/>
  <c r="D61" i="2"/>
  <c r="C61" i="2"/>
  <c r="D60" i="2"/>
  <c r="C60" i="2"/>
  <c r="D59" i="2"/>
  <c r="C59" i="2"/>
  <c r="D58" i="2"/>
  <c r="C58" i="2"/>
  <c r="D57" i="2"/>
  <c r="C57" i="2"/>
  <c r="D56" i="2"/>
  <c r="C56" i="2"/>
  <c r="C52" i="2"/>
  <c r="C51" i="2"/>
  <c r="C49" i="2"/>
  <c r="C48" i="2"/>
  <c r="C47" i="2"/>
  <c r="C46" i="2"/>
  <c r="C45" i="2"/>
  <c r="C44" i="2"/>
  <c r="C42" i="2"/>
  <c r="C41" i="2"/>
  <c r="C40" i="2"/>
  <c r="C39" i="2"/>
  <c r="C37" i="2"/>
  <c r="C36" i="2"/>
  <c r="C35" i="2"/>
  <c r="C34" i="2"/>
  <c r="C33" i="2"/>
  <c r="C61" i="1"/>
  <c r="C60" i="1"/>
  <c r="C59" i="1"/>
  <c r="C58" i="1"/>
  <c r="C57" i="1"/>
  <c r="C56" i="1"/>
  <c r="C55" i="1"/>
  <c r="C54" i="1"/>
  <c r="C53" i="1"/>
  <c r="C52" i="1"/>
  <c r="C51" i="1"/>
  <c r="C50" i="1"/>
  <c r="C49" i="1"/>
  <c r="C48" i="1"/>
  <c r="C47" i="1"/>
  <c r="C46" i="1"/>
  <c r="C45" i="1"/>
  <c r="C44" i="1"/>
  <c r="C43" i="1"/>
  <c r="C42" i="1"/>
  <c r="C41" i="1"/>
  <c r="J35" i="1"/>
  <c r="I35" i="1"/>
  <c r="H35" i="1"/>
  <c r="G35" i="1"/>
  <c r="F35" i="1"/>
  <c r="E35" i="1"/>
  <c r="D35" i="1"/>
  <c r="C35" i="1"/>
  <c r="J34" i="1"/>
  <c r="I34" i="1"/>
  <c r="H34" i="1"/>
  <c r="G34" i="1"/>
  <c r="F34" i="1"/>
  <c r="E34" i="1"/>
  <c r="D34" i="1"/>
  <c r="C34" i="1"/>
  <c r="J33" i="1"/>
  <c r="I33" i="1"/>
  <c r="H33" i="1"/>
  <c r="G33" i="1"/>
  <c r="F33" i="1"/>
  <c r="E33" i="1"/>
  <c r="D33" i="1"/>
  <c r="C33" i="1"/>
  <c r="J32" i="1"/>
  <c r="I32" i="1"/>
  <c r="H32" i="1"/>
  <c r="G32" i="1"/>
  <c r="F32" i="1"/>
  <c r="E32" i="1"/>
  <c r="D32" i="1"/>
  <c r="C32" i="1"/>
  <c r="J31" i="1"/>
  <c r="I31" i="1"/>
  <c r="H31" i="1"/>
  <c r="G31" i="1"/>
  <c r="F31" i="1"/>
  <c r="E31" i="1"/>
  <c r="D31" i="1"/>
  <c r="C31" i="1"/>
  <c r="J30" i="1"/>
  <c r="I30" i="1"/>
  <c r="H30" i="1"/>
  <c r="G30" i="1"/>
  <c r="F30" i="1"/>
  <c r="E30" i="1"/>
  <c r="D30" i="1"/>
  <c r="C30" i="1"/>
  <c r="J29" i="1"/>
  <c r="I29" i="1"/>
  <c r="H29" i="1"/>
  <c r="G29" i="1"/>
  <c r="F29" i="1"/>
  <c r="E29" i="1"/>
  <c r="D29" i="1"/>
  <c r="C29" i="1"/>
  <c r="J28" i="1"/>
  <c r="I28" i="1"/>
  <c r="H28" i="1"/>
  <c r="G28" i="1"/>
  <c r="F28" i="1"/>
  <c r="E28" i="1"/>
  <c r="D28" i="1"/>
  <c r="C28" i="1"/>
  <c r="J27" i="1"/>
  <c r="I27" i="1"/>
  <c r="H27" i="1"/>
  <c r="G27" i="1"/>
  <c r="F27" i="1"/>
  <c r="E27" i="1"/>
  <c r="D27" i="1"/>
  <c r="C27" i="1"/>
  <c r="J26" i="1"/>
  <c r="I26" i="1"/>
  <c r="H26" i="1"/>
  <c r="G26" i="1"/>
  <c r="F26" i="1"/>
  <c r="E26" i="1"/>
  <c r="D26" i="1"/>
  <c r="C26" i="1"/>
  <c r="C22" i="1"/>
  <c r="D22" i="1" s="1"/>
  <c r="C21" i="1"/>
  <c r="E21" i="1" s="1"/>
  <c r="C20" i="1"/>
  <c r="E20" i="1" s="1"/>
  <c r="C19" i="1"/>
  <c r="E19" i="1" s="1"/>
  <c r="C18" i="1"/>
  <c r="E18" i="1" s="1"/>
  <c r="C17" i="1"/>
  <c r="E17" i="1" s="1"/>
  <c r="C13" i="1"/>
  <c r="C12" i="1"/>
  <c r="C11" i="1"/>
  <c r="E10" i="1"/>
  <c r="D10" i="1"/>
  <c r="C10" i="1"/>
  <c r="C9" i="1"/>
  <c r="C8" i="1"/>
  <c r="C7" i="1"/>
  <c r="C6" i="1"/>
  <c r="D17" i="1" s="1"/>
  <c r="D18" i="1" l="1"/>
  <c r="E22" i="1"/>
  <c r="D20" i="1"/>
  <c r="D21" i="1"/>
  <c r="D19" i="1"/>
</calcChain>
</file>

<file path=xl/sharedStrings.xml><?xml version="1.0" encoding="utf-8"?>
<sst xmlns="http://schemas.openxmlformats.org/spreadsheetml/2006/main" count="3686" uniqueCount="2101">
  <si>
    <t>PromptHalo — SOC 2 Common Criteria Gap Assessment</t>
  </si>
  <si>
    <t>160 controls across CC1–CC9  ·  Version 2.0  ·  August 5, 2026  ·  Internal  ·  Every figure on this tab is calculated — change a Score on any Controls tab and this updates.</t>
  </si>
  <si>
    <t>READINESS AT A GLANCE</t>
  </si>
  <si>
    <t>Controls in scope</t>
  </si>
  <si>
    <t>Every row on the nine Controls tabs.</t>
  </si>
  <si>
    <t>Applicable (N/A excluded)</t>
  </si>
  <si>
    <t>N/A rows are excluded from both the score and the maximum.</t>
  </si>
  <si>
    <t>Assessed</t>
  </si>
  <si>
    <t>A blank Score is not a zero — it is reported separately below.</t>
  </si>
  <si>
    <t>Not yet assessed</t>
  </si>
  <si>
    <t>Score these before relying on the readiness figure.</t>
  </si>
  <si>
    <t>Readiness</t>
  </si>
  <si>
    <t>Average level</t>
  </si>
  <si>
    <t>Mean of the assessed rows only.</t>
  </si>
  <si>
    <t>Short of Type I (below level 2)</t>
  </si>
  <si>
    <t>Design deficiencies. Each one fails a Type I.</t>
  </si>
  <si>
    <t>Short of Type II (below level 3)</t>
  </si>
  <si>
    <t>Operating without retained evidence. Each one fails a Type II sample.</t>
  </si>
  <si>
    <t>SCORE DISTRIBUTION</t>
  </si>
  <si>
    <t>Level</t>
  </si>
  <si>
    <t>Controls</t>
  </si>
  <si>
    <t>Share</t>
  </si>
  <si>
    <t>Distribution</t>
  </si>
  <si>
    <t>0 — Gap</t>
  </si>
  <si>
    <t>1 — Documented</t>
  </si>
  <si>
    <t>2 — Implemented</t>
  </si>
  <si>
    <t>3 — Evidenced</t>
  </si>
  <si>
    <t>4 — Automated</t>
  </si>
  <si>
    <t>N/A — Not applicable</t>
  </si>
  <si>
    <t>BY CRITERION</t>
  </si>
  <si>
    <t>Criterion</t>
  </si>
  <si>
    <t>At level 0</t>
  </si>
  <si>
    <t>Below level 3</t>
  </si>
  <si>
    <t>Policy: Yes</t>
  </si>
  <si>
    <t>Partial</t>
  </si>
  <si>
    <t>No</t>
  </si>
  <si>
    <t>CC1  Control Environment</t>
  </si>
  <si>
    <t>CC2  Communication and Information</t>
  </si>
  <si>
    <t>CC3  Risk Assessment</t>
  </si>
  <si>
    <t>CC4  Monitoring Activities</t>
  </si>
  <si>
    <t>CC5  Control Activities</t>
  </si>
  <si>
    <t>CC6  Logical and Physical Access</t>
  </si>
  <si>
    <t>CC7  System Operations</t>
  </si>
  <si>
    <t>CC8  Change Management</t>
  </si>
  <si>
    <t>CC9  Risk Mitigation</t>
  </si>
  <si>
    <t>All nine criteria</t>
  </si>
  <si>
    <t>OPEN GAPS — CONTROLS ASSESSED AT LEVEL 0 (21 of 160)</t>
  </si>
  <si>
    <t>Status is live: rescore the control on its tab and this column changes.</t>
  </si>
  <si>
    <t>Control</t>
  </si>
  <si>
    <t>Live status</t>
  </si>
  <si>
    <t>What is missing</t>
  </si>
  <si>
    <t>CC1.1-01</t>
  </si>
  <si>
    <t>Code of Conduct (POL-COC-001) approved by the Steering Committee and published to all personnel.</t>
  </si>
  <si>
    <t>CC1.1-02</t>
  </si>
  <si>
    <t>Every employee and contractor accepts the Code of Conduct at onboarding, on material revision, and annually.</t>
  </si>
  <si>
    <t>CC1.1-03</t>
  </si>
  <si>
    <t>Conflict of interest declaration completed annually and whenever a new client engagement is accepted.</t>
  </si>
  <si>
    <t>CC1.1-04</t>
  </si>
  <si>
    <t>Ethics reporting channel that bypasses the Security Officer, with anti-retaliation stated.</t>
  </si>
  <si>
    <t>CC1.1-05</t>
  </si>
  <si>
    <t>Conduct deviations are documented with the finding, the decision and the rationale.</t>
  </si>
  <si>
    <t>CC1.2-06</t>
  </si>
  <si>
    <t>Committee composition is reviewed as the Company grows and additional members are appointed when available.</t>
  </si>
  <si>
    <t>CC1.3-01</t>
  </si>
  <si>
    <t>Current org chart showing reporting lines, including contractors and the fractional CISO.</t>
  </si>
  <si>
    <t>CC1.3-04</t>
  </si>
  <si>
    <t>Delegated duties are documented with their scope and duration.</t>
  </si>
  <si>
    <t>CC1.3-05</t>
  </si>
  <si>
    <t>Segregation of duties assessed; where not practicable, compensating controls are documented.</t>
  </si>
  <si>
    <t>CC1.4-01</t>
  </si>
  <si>
    <t>Competency requirements, including required skills and certifications, defined per role.</t>
  </si>
  <si>
    <t>CC1.4-05</t>
  </si>
  <si>
    <t>Remote working requirements — device standard, network, physical handling of screens and printouts — acknowledged.</t>
  </si>
  <si>
    <t>CC1.4-06</t>
  </si>
  <si>
    <t>Contractors meet the same screening, training and acknowledgment requirements as employees.</t>
  </si>
  <si>
    <t>CC1.5-02</t>
  </si>
  <si>
    <t>Performance review includes control and security responsibilities.</t>
  </si>
  <si>
    <t>CC2.2-01</t>
  </si>
  <si>
    <t>Policies are published to the policy repository and personnel are notified on issue and on material change.</t>
  </si>
  <si>
    <t>CC2.2-05</t>
  </si>
  <si>
    <t>A written quarterly report goes to the Steering Committee covering control status, open deficiencies with owners and dates, and the security metrics.</t>
  </si>
  <si>
    <t>CC2.2-06</t>
  </si>
  <si>
    <t>Concerns about the conduct of the Security Officer, or which a person prefers not to raise with the Security Officer, may be reported directly to the CEO.</t>
  </si>
  <si>
    <t>CC2.3-01</t>
  </si>
  <si>
    <t>Security, availability and confidentiality commitments made to customers are recorded in the customer agreement or DPA, and reviewed annually against the controls actually in operation.</t>
  </si>
  <si>
    <t>CC2.3-05</t>
  </si>
  <si>
    <t>Security commitments to customers or prospective customers are reviewed by the Security Officer before they are made.</t>
  </si>
  <si>
    <t>CC3.1-03</t>
  </si>
  <si>
    <t>Legal, regulatory and contractual security obligations are recorded in a single register and reviewed annually.</t>
  </si>
  <si>
    <t>CC3.1-05</t>
  </si>
  <si>
    <t>Each objective is linked to the controls that deliver it, so a control failure traces to the objective it puts at risk.</t>
  </si>
  <si>
    <t>CC6.6-03</t>
  </si>
  <si>
    <t>A current network diagram shows accounts, environments, public entry points and trust boundaries, and is maintained as the architecture changes.</t>
  </si>
  <si>
    <t>WHERE TO START</t>
  </si>
  <si>
    <t>One destination for deficiencies</t>
  </si>
  <si>
    <t>Five policies name five different homes for a deficiency — plan of action, deficiency log, risk register, finding population and incident corrective actions. Choose POL-ISP-001 §8 and amend the other four. Setup step 27.</t>
  </si>
  <si>
    <t>The two documents that do not exist</t>
  </si>
  <si>
    <t>POL-COI-001 and POL-PRIV-001 are referenced by CC1, CC2 and POL-ISP-001 Annex A and are not in the approved library. Until they exist or the references are corrected, Annex A cannot be reconciled.</t>
  </si>
  <si>
    <t>Refresh the tables of contents</t>
  </si>
  <si>
    <t>21 of 27 documents carry a stale contents page — POL-VM-001 reads as Change Management. Every wrong cross-reference in this workbook traced back to that. A batch field refresh and reissue fixes it.</t>
  </si>
  <si>
    <t>Reconcile the incident role model</t>
  </si>
  <si>
    <t>POL-IRP-001 §6 assumes fifteen to twenty people and needs four incident roles. At current headcount it cannot be staffed. Name external parties or record the limitation. Setup step 40.</t>
  </si>
  <si>
    <t>Name the Security Officer alternate</t>
  </si>
  <si>
    <t>POL-BCP-001 §8 requires one with break-glass access. At two people it is the CEO. Writing it down costs nothing and closes the largest continuity exposure. Setup step 43.</t>
  </si>
  <si>
    <t>Then run the first assessment</t>
  </si>
  <si>
    <t>CC3 to CC9 are capped at level 1 because the policies are approved but nothing has operated yet. The first risk assessment, the first quarterly cycle and the first evidence set are what move 137 rows from Documented to Implemented.</t>
  </si>
  <si>
    <t>PromptHalo — SOC 2 Common Criteria Control Plan (CC1–CC9)</t>
  </si>
  <si>
    <t>POL-ISP-001 supporting workbook  ·  Version 2.1  ·  August 6, 2026  ·  Internal</t>
  </si>
  <si>
    <t>HOW TO USE THIS WORKBOOK</t>
  </si>
  <si>
    <t>Controls tabs</t>
  </si>
  <si>
    <t>Nine tabs in identical format covering the whole of the Common Criteria — 28 controls across CC1, 17 across CC2, 20 across CC3, 13 across CC4, 12 across CC5, 32 across CC6, 21 across CC7, 7 across CC8 and 10 across CC9, 160 in all — grouped so each criterion collapses to a single row. Use the outline buttons in the left margin. Fill in the shaded columns only: Owner, Score and Next due. On CC1 and CC2 columns O to Q assess the implementation plans; on CC3 to CC9 they assess the approved policy library, and the headers say which. The Dashboard tab summarises every figure below.</t>
  </si>
  <si>
    <t>Setup</t>
  </si>
  <si>
    <t>One-time Secureframe, Google Workspace, GitHub and AWS configuration, forty-four steps. Steps 1 to 13 switch on CC1; 14 to 20 cover CC2; 21 to 26 CC3; 27 to 30 CC4; 31 to 36 CC5 and CC6; 37 to 44 CC7, CC8 and CC9. From step 21 onward every step is written against a clause the approved policies already contain, so none of them asks you to rewrite policy you have.</t>
  </si>
  <si>
    <t>Governance Log</t>
  </si>
  <si>
    <t>The single log that satisfies CC1.2-02 (decisions recorded), CC1.3-04 (delegations), CC2.3-05 (commitments reviewed before they are made) and CC3.2-06 (risk acceptances). One line per decision, with the control reference so it traces back to a row on any controls tab.</t>
  </si>
  <si>
    <t>Calendar</t>
  </si>
  <si>
    <t>Seven scheduled events, six event-driven triggers, and one row for what runs continuously. All 160 controls appear at least once, so the Calendar is the coverage check: if these operate, the plan has operated for the year.</t>
  </si>
  <si>
    <t>THE SIMPLIFICATION</t>
  </si>
  <si>
    <t>Six artifacts</t>
  </si>
  <si>
    <t>1. Policy repository (GitHub)   2. Acknowledgment register (Secureframe)   3. Governance Log (this workbook)   4. Onboarding checklist (Secureframe)   5. Control matrix (Secureframe)   6. Annual Assessment (signed Word document)   7. Risk register (Secureframe)   8. Annual risk assessment with fraud section (Word document)   9. Plan of action — the single deficiency population (Secureframe)</t>
  </si>
  <si>
    <t>Seven events</t>
  </si>
  <si>
    <t>Onboarding (per hire)  ·  Monthly evaluation cycle  ·  Quarterly evaluation cycle  ·  Quarterly Committee report  ·  Annual acknowledgment and training cycle  ·  Annual risk assessment  ·  Annual assessment and policy review.  Plus four triggers that fire on an event rather than a date.</t>
  </si>
  <si>
    <t>Division of labour</t>
  </si>
  <si>
    <t>Secureframe owns anything involving a person: policy acceptance, training, screening, onboarding. GitHub owns anything that is a document: policy text, version history, approval trail. Nothing lives in email or in a local folder.</t>
  </si>
  <si>
    <t>THE ONE THING TO FIX</t>
  </si>
  <si>
    <t>CC1.2 independence</t>
  </si>
  <si>
    <t>With a CEO-only Steering Committee you cannot fully satisfy CC1.2. The ISP records this as a documented limitation with a compensating control, which is defensible. Recruiting one unpaid outside advisor to sign an annual oversight memo (CC1.2-05) converts a permanent scope limitation into a satisfied criterion for the cost of one meeting a year.</t>
  </si>
  <si>
    <t>GAP ASSESSMENT SCALE</t>
  </si>
  <si>
    <t>Score each control 0–4 in the Score column of its Controls tab. A Type I report needs every control at 2 or above; a Type II needs 3 or above, sustained across the observation period. CC3 to CC6 were scored from the approved policy library, which caps them at 1 until the controls are shown operating.</t>
  </si>
  <si>
    <t>The control does not apply to the Company. Excluded from both the score and the maximum, so it does not distort readiness. Record the reason in the Governance Log — an auditor will ask why.</t>
  </si>
  <si>
    <t>Nothing in place. The control is neither written down nor operating.</t>
  </si>
  <si>
    <t>Written into an approved policy or procedure, but not yet operating in practice. Design only.</t>
  </si>
  <si>
    <t>Operating in practice, but evidence is not consistently produced or retained. Sufficient for a Type I; will fail a Type II sample.</t>
  </si>
  <si>
    <t>Operating with dated evidence retained for every occurrence, sufficient for an auditor to sample across the observation period.</t>
  </si>
  <si>
    <t>Evidence is produced and retained continuously by a system without manual effort, and drift is detected without anyone checking.</t>
  </si>
  <si>
    <t>Not scored</t>
  </si>
  <si>
    <t>Leave the Score cell blank until the control has been assessed. A blank is reported separately below and is not treated as a zero.</t>
  </si>
  <si>
    <t>SCORE SUMMARY</t>
  </si>
  <si>
    <t>Total controls</t>
  </si>
  <si>
    <t>Not applicable</t>
  </si>
  <si>
    <t>Applicable controls</t>
  </si>
  <si>
    <t>Controls scored</t>
  </si>
  <si>
    <t>Not yet scored</t>
  </si>
  <si>
    <t>Total score</t>
  </si>
  <si>
    <t>Maximum possible</t>
  </si>
  <si>
    <t>Total score as a share of the maximum. A blunt but useful single number.</t>
  </si>
  <si>
    <t>Level 0 — Gap</t>
  </si>
  <si>
    <t>Level 1 — Documented</t>
  </si>
  <si>
    <t>Level 2 — Implemented</t>
  </si>
  <si>
    <t>Level 3 — Evidenced</t>
  </si>
  <si>
    <t>Level 4 — Automated</t>
  </si>
  <si>
    <t>Below level 2 (Type I risk)</t>
  </si>
  <si>
    <t>Controls that are not yet operating. Each one is a design deficiency in a Type I.</t>
  </si>
  <si>
    <t>Below level 3 (Type II risk)</t>
  </si>
  <si>
    <t>Controls operating without retained evidence. Each one will fail a Type II sample.</t>
  </si>
  <si>
    <t>SCORE BY CRITERION</t>
  </si>
  <si>
    <t>Bold rows are the criteria; the indented rows beneath are their sub-criteria. All figures are means of the scored controls only — unscored and N/A rows are excluded, so a partly scored plan is not dragged down.</t>
  </si>
  <si>
    <t>CC1</t>
  </si>
  <si>
    <t>CC1.1</t>
  </si>
  <si>
    <t>CC1.2</t>
  </si>
  <si>
    <t>CC1.3</t>
  </si>
  <si>
    <t>CC1.4</t>
  </si>
  <si>
    <t>CC1.5</t>
  </si>
  <si>
    <t>CC2</t>
  </si>
  <si>
    <t>CC2.1</t>
  </si>
  <si>
    <t>CC2.2</t>
  </si>
  <si>
    <t>CC2.3</t>
  </si>
  <si>
    <t>CC3</t>
  </si>
  <si>
    <t>CC3.1</t>
  </si>
  <si>
    <t>CC3.2</t>
  </si>
  <si>
    <t>CC3.3</t>
  </si>
  <si>
    <t>CC3.4</t>
  </si>
  <si>
    <t>CC4</t>
  </si>
  <si>
    <t>CC4.1</t>
  </si>
  <si>
    <t>CC4.2</t>
  </si>
  <si>
    <t>CC5</t>
  </si>
  <si>
    <t>CC5.1</t>
  </si>
  <si>
    <t>CC5.2</t>
  </si>
  <si>
    <t>CC5.3</t>
  </si>
  <si>
    <t>CC6</t>
  </si>
  <si>
    <t>CC6.1</t>
  </si>
  <si>
    <t>CC6.2</t>
  </si>
  <si>
    <t>CC6.3</t>
  </si>
  <si>
    <t>CC6.4</t>
  </si>
  <si>
    <t>CC6.5</t>
  </si>
  <si>
    <t>CC6.6</t>
  </si>
  <si>
    <t>CC6.7</t>
  </si>
  <si>
    <t>CC6.8</t>
  </si>
  <si>
    <t>CC7</t>
  </si>
  <si>
    <t>CC7.1</t>
  </si>
  <si>
    <t>CC7.2</t>
  </si>
  <si>
    <t>CC7.3</t>
  </si>
  <si>
    <t>CC7.4</t>
  </si>
  <si>
    <t>CC7.5</t>
  </si>
  <si>
    <t>CC8</t>
  </si>
  <si>
    <t>CC8.1</t>
  </si>
  <si>
    <t>CC9</t>
  </si>
  <si>
    <t>CC9.1</t>
  </si>
  <si>
    <t>CC9.2</t>
  </si>
  <si>
    <t>All</t>
  </si>
  <si>
    <t>WHEN N/A IS ACTUALLY AVAILABLE</t>
  </si>
  <si>
    <t>Short answer</t>
  </si>
  <si>
    <t>Almost never. Working through all 160 controls against a CEO-only, fully remote, newly formed company, exactly one is safely N/A and one more is conditional. Nothing in CC3 to CC9 qualifies. Small headcount changes how a control operates, not whether the criterion applies.</t>
  </si>
  <si>
    <t>Pre-set to N/A</t>
  </si>
  <si>
    <t>CC1.2-05, the independent advisor. It is the only row in this workbook that no Trust Services Criterion requires — it was added as an enhancement. The rationale is filled in for you. Replace it with a score of 0–4 if you appoint an advisor.</t>
  </si>
  <si>
    <t>Conditional</t>
  </si>
  <si>
    <t>CC1.5-02, control responsibilities in the performance review. If the CEO is the sole employee there is no review cycle to attach them to. If anyone else is employed, it applies to them and N/A is not available. Left blank for you to decide.</t>
  </si>
  <si>
    <t>Not N/A, however tempting</t>
  </si>
  <si>
    <t>CC1.2 independence, CC1.3-05 segregation of duties, CC1.3-04 delegations, the whole of CC3.3, and the independence requirements at CC4.1-01 and CC4.1-02. These feel inapplicable at two people, but the criterion still applies — and in every case the owning policy already supplies the substitute, which is CEO review and signature. CC6.4 physical access belongs on the same list — a company with no office carves those controls out to AWS, which is a treatment rather than an exclusion. A documented limitation is defensible; marking them N/A is not.</t>
  </si>
  <si>
    <t>Nil returns</t>
  </si>
  <si>
    <t>Several controls will produce nothing in year one: no conduct reports, no delegations, no disciplinary cases, no fraud suspicions, no overdue items, no alerts to dispose of in a quiet month. Record the nil affirmatively and score the control normally. An auditor cannot tell an empty file from an unperformed control.</t>
  </si>
  <si>
    <t>Every N/A needs a reason</t>
  </si>
  <si>
    <t>The rationale cell turns red if it is left empty, and the same reason belongs in the Governance Log. N/A is the most challenged cell in any gap assessment.</t>
  </si>
  <si>
    <t>Shaded cells are yours to fill in on the Controls tabs. Everything on this tab is calculated.</t>
  </si>
  <si>
    <t>CC1 — Control Environment</t>
  </si>
  <si>
    <t>28 control activities across CC1.1–CC1.5. Read the scoping note before scoring — it says how each control operates at this headcount. Fill in the shaded columns only.</t>
  </si>
  <si>
    <t>Ref</t>
  </si>
  <si>
    <t>Control activity</t>
  </si>
  <si>
    <t>Owner</t>
  </si>
  <si>
    <t>Frequency</t>
  </si>
  <si>
    <t>System of record</t>
  </si>
  <si>
    <t>How to automate it</t>
  </si>
  <si>
    <t>Evidence artifact</t>
  </si>
  <si>
    <t>Scoping note at this size</t>
  </si>
  <si>
    <t>Score</t>
  </si>
  <si>
    <t>Rationale if N/A</t>
  </si>
  <si>
    <t>Next due</t>
  </si>
  <si>
    <t>Owning policy or standard</t>
  </si>
  <si>
    <t>In the plans?</t>
  </si>
  <si>
    <t>What the implementation plans say</t>
  </si>
  <si>
    <t>What to add to close it</t>
  </si>
  <si>
    <t>Integrity and ethical values</t>
  </si>
  <si>
    <t>1 of 6</t>
  </si>
  <si>
    <t>CEO</t>
  </si>
  <si>
    <t>Annual</t>
  </si>
  <si>
    <t>GitHub + Secureframe</t>
  </si>
  <si>
    <t>Policy lives in the GitHub policy repo. Approval = a merged pull request approved by the CEO; the merge commit is the dated approval record. Publish the approved PDF to Secureframe &gt; Policies.</t>
  </si>
  <si>
    <t>Approved policy + merge commit</t>
  </si>
  <si>
    <t>Applies. Approval is the CEO merging the pull request. A one-person approval is still an approval as long as it is dated and attributable.</t>
  </si>
  <si>
    <t>POL-COC-001 (authorised by POL-ISP-001 §13 Annex A)</t>
  </si>
  <si>
    <t>ISP plan Phase 1 publishes “all subordinate policies”, but there is no Code of Conduct implementation plan in the set and the Code is never named.</t>
  </si>
  <si>
    <t>Create PLN-COC, or add two tasks to ISP plan Phase 1: publish POL-COC-001 by name, and record the Committee approval date and version.</t>
  </si>
  <si>
    <t>Security Officer</t>
  </si>
  <si>
    <t>On hire + annual</t>
  </si>
  <si>
    <t>Secureframe</t>
  </si>
  <si>
    <t>Secureframe &gt; Policies: assign to the 'employee' and 'contractor' groups. Acceptance tests reset automatically at the annual mark and reminders are sent from the platform. Reset acceptances manually after a material revision.</t>
  </si>
  <si>
    <t>Acknowledgment register export</t>
  </si>
  <si>
    <t>Applies to everyone, the CEO included. A two-name acceptance list is still an acceptance list.</t>
  </si>
  <si>
    <t>POL-COC-001 §17 + POL-HRS-001</t>
  </si>
  <si>
    <t>ISP plan Phase 2 collects signed policy acknowledgments. Annual re-acceptance and reset on material revision are not stated.</t>
  </si>
  <si>
    <t>Add to ISP plan Phase 2: set the annual re-acceptance recurrence in Secureframe, and reset acceptances whenever a policy is materially revised.</t>
  </si>
  <si>
    <t>Annual + per engagement</t>
  </si>
  <si>
    <t>Add a custom policy document 'Annual COI Declaration' in Secureframe so it inherits the same accept-and-reset workflow. Add a COI line to the engagement intake checklist for the event-driven case.</t>
  </si>
  <si>
    <t>Signed declarations, incl. 'no conflicts'</t>
  </si>
  <si>
    <t>Applies, and carries more weight here than at a larger company, because the fractional CISO serves several clients at once.</t>
  </si>
  <si>
    <t>POL-COC-001 §7 (no separate POL-COI-001 exists in the library)</t>
  </si>
  <si>
    <t>“Conflict of interest” appears nowhere in the 20 plans. No owning plan exists.</t>
  </si>
  <si>
    <t>Create PLN-COI, or add to HRS plan Phase 2: upload the annual conflict confirmation as a policy document in Secureframe so it inherits the accept-and-reset workflow, and stand up the register.</t>
  </si>
  <si>
    <t>Continuous</t>
  </si>
  <si>
    <t>Google Workspace</t>
  </si>
  <si>
    <t>Create ethics@prompthalo.com routing only to the CEO. Name it in the Code of Conduct. No tooling needed beyond the alias.  Need to be put on the publicly availble web site.</t>
  </si>
  <si>
    <t>Documented channel + report log or nil return</t>
  </si>
  <si>
    <t>Applies. The channel must not terminate at the Security Officer. Where the CEO is the only alternative recipient, say exactly that in the Code of Conduct.</t>
  </si>
  <si>
    <t>POL-COC-001 §16 + POL-ISP-001 §7</t>
  </si>
  <si>
    <t>No ethics channel, whistleblowing route or anti-retaliation task in any plan.</t>
  </si>
  <si>
    <t>Add to HRS plan Phase 1: create an ethics alias routing only to the CEO, name it in POL-COC-001, and state the anti-retaliation commitment. Record a nil return annually.</t>
  </si>
  <si>
    <t>As they occur</t>
  </si>
  <si>
    <t>GitHub Issues</t>
  </si>
  <si>
    <t>Use a 'conduct' issue label in a private governance repo. Never handle these in email — an auditor cannot sample an inbox.</t>
  </si>
  <si>
    <t>Case record per event</t>
  </si>
  <si>
    <t>Applies. Expect a nil return in year one. Record the nil return — an empty file and a clean year look identical to an auditor.</t>
  </si>
  <si>
    <t>POL-COC-001 §18 + POL-HRS-001</t>
  </si>
  <si>
    <t>HRS plan Phase 2 defines a sanctions process reference. Nothing requires the finding, decision and rationale to be recorded per event.</t>
  </si>
  <si>
    <t>Extend the HRS sanctions task: require a dated record per event capturing the finding, the decision and the rationale, held as a labelled issue in the governance repo, never in email.</t>
  </si>
  <si>
    <t>CC1.1-06</t>
  </si>
  <si>
    <t>Background screening is completed and recorded for every new starter before access is granted, showing the tier applied, the date completed, the outcome and who authorised access afterwards.</t>
  </si>
  <si>
    <t>Per Hire</t>
  </si>
  <si>
    <t>Enable the background check step in Secureframe &gt; Personnel &gt; Onboarding and connect a screening provider. Completion shows in the personnel view and the record lands in the evidence library. Make it a gate: no AWS or repository access until it passes. Store the outcome only — pass or adjudicated — never the underlying report.</t>
  </si>
  <si>
    <t>Screening record per hire: tier, date, outcome, authoriser</t>
  </si>
  <si>
    <t>Applies to contractors as well as employees, with no exception for a founder or a fractional officer. Verify claimed certifications as well as criminal history — misrepresented credentials are the failure mode specific to a security firm, and CISSP and OSCP both verify publicly at no cost. Individualised assessment on any record, never automatic disqualification.</t>
  </si>
  <si>
    <t>POL-HRS-001 + STD-SCR-001 (to create)</t>
  </si>
  <si>
    <t>Yes</t>
  </si>
  <si>
    <t>HRS plan Phase 1 selects the provider and defines checks per role tier; Phase 3 backfills; screening records per tier are listed as evidence.</t>
  </si>
  <si>
    <t>Nothing outstanding. Capture the tier definitions the HRS task produces in STD-SCR-001 so they can change without reissuing a policy.</t>
  </si>
  <si>
    <t>Oversight of the control environment</t>
  </si>
  <si>
    <t>CC1.2-01</t>
  </si>
  <si>
    <t>Governance body defined: the Steering Committee comprises the CEO, satisfied by a dated written record.</t>
  </si>
  <si>
    <t>GitHub</t>
  </si>
  <si>
    <t>Already defined in the POL-ISP-001 Terminology section. Keep the definition in exactly one place and reference it; never restate it per policy.</t>
  </si>
  <si>
    <t>ISP Terminology entry</t>
  </si>
  <si>
    <t>Applies. Already satisfied by the Terminology note in POL-ISP-001 defining the Committee as the CEO.</t>
  </si>
  <si>
    <t>POL-ISP-001 §4 (Terminology)</t>
  </si>
  <si>
    <t>ISP plan Phase 1 confirms Security Officer appointment and Steering Committee membership in writing.</t>
  </si>
  <si>
    <t>Nothing outstanding.</t>
  </si>
  <si>
    <t>CC1.2-02</t>
  </si>
  <si>
    <t>Every approval, risk acceptance and exception is recorded with the date and the person deciding.</t>
  </si>
  <si>
    <t>This workbook</t>
  </si>
  <si>
    <t>Use the Governance Log tab. One line per decision, filled in the same day. This is the single most-requested CC1 artifact and the easiest to lose.</t>
  </si>
  <si>
    <t>Applies. A dated written note replaces a meeting at this size; the ISP already says so, which is what makes it defensible.</t>
  </si>
  <si>
    <t>POL-ISP-001 → Governance Log</t>
  </si>
  <si>
    <t>Committee minutes appear in the ISP and Risk plans. No general log of approvals, risk acceptances and exceptions with date and decider.</t>
  </si>
  <si>
    <t>Add to ISP plan Phase 1: stand up the Governance Decisions Log covering every approval, risk acceptance, exception and delegation — not only meeting minutes. Use the tab in this workbook.</t>
  </si>
  <si>
    <t>CC1.2-03</t>
  </si>
  <si>
    <t>The absence of oversight independent of security operations is recorded as a risk with an annual review date.</t>
  </si>
  <si>
    <t>Secureframe &gt; Risk Register: one entry, treatment = 'accepted with compensating control', review date set to the annual assessment.</t>
  </si>
  <si>
    <t>Risk register entry + review note</t>
  </si>
  <si>
    <t>Applies, and is the control that turns the CC1.2 independence gap into a managed limitation rather than a deficiency. Do not skip it.</t>
  </si>
  <si>
    <t>POL-RSK-001 → risk register</t>
  </si>
  <si>
    <t>Risk plan builds the register and routes acceptances to the Committee. The independence limitation is not seeded as an entry.</t>
  </si>
  <si>
    <t>Add to the Risk plan Phase 1 seeding task: create the independence-limitation entry explicitly, treatment ‘accepted with compensating control’, review date set to the annual assessment.</t>
  </si>
  <si>
    <t>CC1.2-04</t>
  </si>
  <si>
    <t>CEO reviews and signs the Security Officer's control effectiveness assessment.</t>
  </si>
  <si>
    <t>Word + GitHub</t>
  </si>
  <si>
    <t>Use the Annual Control Environment Assessment template. One signature covers CC1.2, CC1.3, CC1.4 and CC1.5 — do not split it into four documents.</t>
  </si>
  <si>
    <t>Signed Annual Assessment</t>
  </si>
  <si>
    <t>Applies. This is the compensating control for CC1.2 and the reason the size limitation is acceptable.</t>
  </si>
  <si>
    <t>POL-ISP-001 §8 → FRM-CE-001</t>
  </si>
  <si>
    <t>ISP plan Phase 3 runs the first control self-assessment and presents it to the Committee. No CEO signature on the Security Officer’s assessment.</t>
  </si>
  <si>
    <t>Add to ISP plan Phase 3: the CEO reviews and signs the completed assessment at FRM-CE-001 Section 11. This signature is the CC1.2 compensating control.</t>
  </si>
  <si>
    <t>CC1.2-05</t>
  </si>
  <si>
    <t>RECOMMENDED — an advisor outside the management reporting line reviews the annual assessment and signs a short oversight memo.</t>
  </si>
  <si>
    <t>One unpaid outside advisor, one meeting a year, one signature appended to the Annual Assessment. This is what closes the CC1.2 gap properly.</t>
  </si>
  <si>
    <t>Advisor oversight memo</t>
  </si>
  <si>
    <t>Enhancement, not a Trust Services Criteria requirement — the only row in this workbook that is not criterion-mandated. Pre-set to N/A; change it to a score if you appoint an advisor.</t>
  </si>
  <si>
    <t>N/A</t>
  </si>
  <si>
    <t>Enhancement beyond the Trust Services Criteria; no criterion requires an independent advisor. Recorded as a deliberate scoping decision. Change to a score of 0–4 if an advisor is appointed.</t>
  </si>
  <si>
    <t>POL-ISP-001 → FRM-CE-001 Annex A</t>
  </si>
  <si>
    <t>No independent advisor task in any plan. Expected — this control is the optional enhancement, not a criterion requirement.</t>
  </si>
  <si>
    <t>If adopted: add to ISP plan Phase 3 — appoint the advisor and obtain the oversight memo at FRM-CE-001 Annex A. If declined: record the decision in the Governance Log and score this row N/A.</t>
  </si>
  <si>
    <t>Tie the trigger to headcount in the HRIS feeding Secureframe, not to memory. Review at each annual policy review.</t>
  </si>
  <si>
    <t>Review note in Annual Assessment</t>
  </si>
  <si>
    <t>Applies. At this size the annual review is a single line confirming nothing has changed. It still has to be written down.</t>
  </si>
  <si>
    <t>POL-ISP-001</t>
  </si>
  <si>
    <t>No growth trigger or committee composition review task in any plan.</t>
  </si>
  <si>
    <t>Add to ISP plan Operational Cadence: annual review of Committee composition against a defined headcount trigger, with the outcome recorded even when nothing changes.</t>
  </si>
  <si>
    <t>Structure, authority and responsibility</t>
  </si>
  <si>
    <t>2 of 5</t>
  </si>
  <si>
    <t>Annual + on hire</t>
  </si>
  <si>
    <t>A one-page chart in the governance repo, even if it is four boxes. Regenerate from the HRIS roster so it cannot drift from Secureframe's personnel list.</t>
  </si>
  <si>
    <t>Org chart</t>
  </si>
  <si>
    <t>Applies. Four boxes is a valid org chart. Include the fractional CISO and every contractor — omitting contractors is a common finding.</t>
  </si>
  <si>
    <t>POL-ISP-001 → org chart in governance repo</t>
  </si>
  <si>
    <t>An org chart appears in no plan, in tasks or in evidence.</t>
  </si>
  <si>
    <t>Add to HRS plan Phase 1: produce a one-page org chart including contractors and the fractional CISO, add it to the evidence list, and review it annually and on each hire.</t>
  </si>
  <si>
    <t>CC1.3-02</t>
  </si>
  <si>
    <t>Each role description states its security responsibilities.</t>
  </si>
  <si>
    <t>One markdown file per role in the governance repo. Same file serves CC1.3-02 and CC1.4-01 — write it once.</t>
  </si>
  <si>
    <t>Role descriptions</t>
  </si>
  <si>
    <t>Applies. One paragraph per role, and roles rather than named people, so it survives the next hire.</t>
  </si>
  <si>
    <t>POL-HRS-001 → role descriptions</t>
  </si>
  <si>
    <t>HRS plan Phase 1 adds security responsibilities to role descriptions; listed as an evidence artifact.</t>
  </si>
  <si>
    <t>CC1.3-03</t>
  </si>
  <si>
    <t>The Accountable Party is named: the CEO, or the Security Officer in their absence.</t>
  </si>
  <si>
    <t>Already defined in POL-ISP-001. Reference it; do not duplicate the definition into subordinate policies.</t>
  </si>
  <si>
    <t>ISP clause</t>
  </si>
  <si>
    <t>Applies. Already named in POL-ISP-001; this row is confirming it is still current.</t>
  </si>
  <si>
    <t>ISP plan Phase 1 confirms the Security Officer appointment in writing.</t>
  </si>
  <si>
    <t>Same Governance Log as CC1.2-02, with type = 'Delegation'. No second log.</t>
  </si>
  <si>
    <t>Applies. Expect few or none. Record 'no delegations in force' at the annual review rather than leaving the log empty.</t>
  </si>
  <si>
    <t>Every plan permits the Security Officer to delegate to a designee, but none requires the delegation, its scope or its duration to be recorded.</t>
  </si>
  <si>
    <t>Add to ISP plan Phase 2: record every delegation in the Governance Log with scope and duration, and confirm ‘no delegations in force’ at the annual review when there are none.</t>
  </si>
  <si>
    <t>A section of the Annual Assessment, not a standalone document. At this headcount the honest answer is that segregation is limited — say so and name the compensating controls.</t>
  </si>
  <si>
    <t>SoD section of Annual Assessment</t>
  </si>
  <si>
    <t>Applies. The assessment is required even when the conclusion is that segregation is not practicable. Do not mark N/A because you cannot segregate — that is the finding to document, not a reason to exclude the control.</t>
  </si>
  <si>
    <t>POL-ISP-001 §7 → FRM-CE-001 §7</t>
  </si>
  <si>
    <t>Segregation of duties is not assessed in any plan. The Access Control plan separates privileged from standard accounts, which is a different control.</t>
  </si>
  <si>
    <t>Add to ISP plan Phase 3: complete the segregation of duties assessment at FRM-CE-001 Section 7. ‘Not practicable at this size, compensated by X’ is a valid conclusion; an absent assessment is not.</t>
  </si>
  <si>
    <t>Competence — attract, develop, retain</t>
  </si>
  <si>
    <t>3 of 6</t>
  </si>
  <si>
    <t>Same role description files as CC1.3-02. One artifact, two criteria.</t>
  </si>
  <si>
    <t>Applies. Same file as CC1.3-02, written once and serving both.</t>
  </si>
  <si>
    <t>Role descriptions carry security responsibilities. Required skills and certifications per role are not named.</t>
  </si>
  <si>
    <t>Extend the HRS plan Phase 1 role-description task to name required skills and certifications per role, and verify claimed certifications during screening.</t>
  </si>
  <si>
    <t>CC1.4-02</t>
  </si>
  <si>
    <t>Background screening completed before access to production systems or customer data is granted.</t>
  </si>
  <si>
    <t>Per hire</t>
  </si>
  <si>
    <t>Enable the background check step in Secureframe &gt; Personnel &gt; Onboarding. Make the check a gate: do not provision AWS or repo access until it passes.</t>
  </si>
  <si>
    <t>Screening completion record</t>
  </si>
  <si>
    <t>Applies to contractors as well as employees. There is no exception for a fractional officer or a founder.</t>
  </si>
  <si>
    <t>POL-AC-001 + STD-SCR-001 (to create)</t>
  </si>
  <si>
    <t>HRS plan success metric requires 100% of new hires screened before Confidential or Restricted access.</t>
  </si>
  <si>
    <t>Nothing outstanding. Make screening a hard gate in Secureframe onboarding so access cannot be provisioned until it passes.</t>
  </si>
  <si>
    <t>CC1.4-03</t>
  </si>
  <si>
    <t>Onboarding checklist completed for every joiner: policies, training, screening, access, equipment.</t>
  </si>
  <si>
    <t>Secureframe Employee Onboarding sends the invite and tracks all four tasks in one view. Connect the HRIS so joiners import automatically and you never onboard from memory.</t>
  </si>
  <si>
    <t>Completed onboarding record</t>
  </si>
  <si>
    <t>Applies. One joiner a year still needs the checklist, and the checklist is what an auditor samples.</t>
  </si>
  <si>
    <t>POL-HRS-001</t>
  </si>
  <si>
    <t>HRS plan Phase 2 builds the onboarding checklist covering screening, agreements, training and least-privilege access; completed checklists listed as evidence.</t>
  </si>
  <si>
    <t>CC1.4-04</t>
  </si>
  <si>
    <t>Security awareness training completed at onboarding and at least annually.</t>
  </si>
  <si>
    <t>Secureframe's built-in training with auto-enrolment and annual reset. Add role-specific content for anyone touching customer AWS environments.</t>
  </si>
  <si>
    <t>Training completion report</t>
  </si>
  <si>
    <t>Applies. The CEO takes the training too. A completion rate of 100% across two people is a clean result.</t>
  </si>
  <si>
    <t>POL-SAT-001</t>
  </si>
  <si>
    <t>SAT plan Phase 1 assigns onboarding training and sets the annual recurrence; completion reports listed as evidence.</t>
  </si>
  <si>
    <t>Do not create a separate acceptance. Put the home-working requirements inside an existing policy and let the same acknowledgment cover it.</t>
  </si>
  <si>
    <t>Applies with more force here, not less. Everyone is remote, there is no office perimeter, and the home environment is the control boundary.</t>
  </si>
  <si>
    <t>POL-COC-001 §12 + STD-EPT-001</t>
  </si>
  <si>
    <t>Acceptable Use plan documents the remote-work and BYOD permission process and the annual acknowledgment set. Its device enforcement task assumes Company-managed devices, which is not the model we chose.</t>
  </si>
  <si>
    <t>Rewrite Acceptable Use plan Phase 1 task 3: replace enforcement on Company-managed devices with deployment of the read-only posture check on personal devices. As written it contradicts POL-COC-001 Section 5.</t>
  </si>
  <si>
    <t>Per engagement</t>
  </si>
  <si>
    <t>Assign contractors to the 'contractor' group in Secureframe and give that group the same policy and training set. Do not build a second workflow.</t>
  </si>
  <si>
    <t>Same records as employees</t>
  </si>
  <si>
    <t>Applies, and is the primary path at this size, since most of the team is engaged rather than employed.</t>
  </si>
  <si>
    <t>POL-HRS-001 + POL-VM-001</t>
  </si>
  <si>
    <t>No plan states that contractors meet the same screening, training and acknowledgment standard as employees.</t>
  </si>
  <si>
    <t>Add to HRS plan Phase 2: assign contractors to the same Secureframe group as employees so they inherit the same policy, training and screening set, and flow the requirement down in contractor agreements.</t>
  </si>
  <si>
    <t>Accountability for internal control</t>
  </si>
  <si>
    <t>CC1.5-01</t>
  </si>
  <si>
    <t>Security responsibilities are communicated and accepted as a condition of employment or engagement.</t>
  </si>
  <si>
    <t>Covered by the same acceptance as CC1.1-02. One acknowledgment satisfies both criteria — do not run two.</t>
  </si>
  <si>
    <t>Applies. Covered by the same acceptance as CC1.1-02 — do not run a second one.</t>
  </si>
  <si>
    <t>HRS plan Phase 1 updates offer and engagement templates to include confidentiality, IP and policy-acceptance terms.</t>
  </si>
  <si>
    <t>A one-page annual review form in the governance repo. Do not buy a performance platform for this at current headcount.</t>
  </si>
  <si>
    <t>Completed review form</t>
  </si>
  <si>
    <t>The only other N/A candidate. If the CEO is the sole employee there is no review cycle to attach control responsibilities to. If anyone else is employed, it applies to them and N/A is not available. Decide, then record the reason.</t>
  </si>
  <si>
    <t>Performance review appears in no plan.</t>
  </si>
  <si>
    <t>Add to HRS plan Phase 2: a one-page annual review form that includes security and control responsibilities, and add completed forms to the evidence list. Do not buy a performance platform for this.</t>
  </si>
  <si>
    <t>CC1.5-03</t>
  </si>
  <si>
    <t>Every control has a named owner and a defined operating frequency.</t>
  </si>
  <si>
    <t>Quarterly</t>
  </si>
  <si>
    <t>Secureframe &gt; Controls: owner is a required field. Review unassigned controls at the quarterly report rather than before the audit.</t>
  </si>
  <si>
    <t>Control matrix export</t>
  </si>
  <si>
    <t>Applies. Twenty-seven controls still need named owners, and 'the CEO' is a valid owner for most of them.</t>
  </si>
  <si>
    <t>POL-ISP-001 §8 → control matrix</t>
  </si>
  <si>
    <t>ISP plan Phase 1 builds a compliance calendar with owners and due dates. A control matrix naming an owner and frequency per control is not required.</t>
  </si>
  <si>
    <t>Add to ISP plan Phase 1: build the control matrix with an owner and operating frequency per control alongside the calendar. Secureframe makes owner a required field.</t>
  </si>
  <si>
    <t>CC1.5-04</t>
  </si>
  <si>
    <t>Controls that do not operate on schedule become deficiencies, are tracked in the plan of action and escalated when overdue.</t>
  </si>
  <si>
    <t>Failing Secureframe tests create tasks automatically. Route them to a Jira or Linear project via the task integration so overdue items surface without anyone checking.</t>
  </si>
  <si>
    <t>Plan of action + quarterly report</t>
  </si>
  <si>
    <t>Applies. Expect zero overdue items in the first quarter. Record the zero in the quarterly report.</t>
  </si>
  <si>
    <t>POL-ISP-001 §8 + POL-RSK-001 §9</t>
  </si>
  <si>
    <t>ISP plan Phase 3 records gaps in a plan of action with owners and dates; escalation of overdue tasks is stated in the implementation approach.</t>
  </si>
  <si>
    <t>CC1.5-05</t>
  </si>
  <si>
    <t>Security Officer documents the finding and recommends; CEO determines, documents and consistently applies the outcome.</t>
  </si>
  <si>
    <t>Same 'conduct' issue label as CC1.1-05. One process, one record type.</t>
  </si>
  <si>
    <t>Applies. The process has to exist before it is needed. Expect a nil return and record it.</t>
  </si>
  <si>
    <t>HRS plan Phase 2 defines the sanctions process reference with management. The split between who documents the finding and who decides the outcome is not stated.</t>
  </si>
  <si>
    <t>Extend the HRS sanctions task to state the split: the Security Officer documents the finding and recommends; the CEO determines, documents and applies the outcome consistently.</t>
  </si>
  <si>
    <t>Scale</t>
  </si>
  <si>
    <t>0 Gap  ·  1 Documented  ·  2 Implemented  ·  3 Evidenced  ·  4 Automated  ·  N/A Not applicable.  Full definitions on the Read Me tab. Leave blank until assessed — a blank is not a zero, and N/A is excluded from the score entirely.</t>
  </si>
  <si>
    <t>N/A rule</t>
  </si>
  <si>
    <t>An N/A with no rationale turns the rationale cell red. Every N/A must say why, and the same reason should appear in the Governance Log. Small headcount is a reason to document a limitation, not a reason to exclude a control — only CC1.2-05 and possibly CC1.5-02 qualify here.</t>
  </si>
  <si>
    <t>How to</t>
  </si>
  <si>
    <t>Use the outline buttons in the left margin (1 / 2, or the +/− next to each criterion) to collapse and expand. Level 1 shows the five criterion rows only; level 2 shows every control.</t>
  </si>
  <si>
    <t>Sources</t>
  </si>
  <si>
    <t>Column N names the document that should own each control. Column O records whether the requirement appears in the 20 implementation plans supplied in Plan.zip — 9 Yes, 10 Partial, 9 No. Column P quotes what those plans actually say, and column Q states what to add. Plan.zip contains implementation plans only: no Code of Conduct plan and no Conflict of Interest plan exist in the set, which is why CC1.1 scores worst.</t>
  </si>
  <si>
    <t>CC2 — Communication and Information</t>
  </si>
  <si>
    <t>17 control activities across CC2.1–CC2.3. Same scale and same columns as the CC1 tab. Fill in the shaded columns only: Owner, Score and Next due.</t>
  </si>
  <si>
    <t>Relevant, quality information</t>
  </si>
  <si>
    <t>5 of 5</t>
  </si>
  <si>
    <t>CC2.1-01</t>
  </si>
  <si>
    <t>A System Security Plan describes the system boundary, environments of operation and implemented controls, and is reviewed at least annually.</t>
  </si>
  <si>
    <t>Keep it in the governance repo as markdown so changes are versioned. Regenerate the asset sections from Secureframe rather than retyping them.</t>
  </si>
  <si>
    <t>System Security Plan with version history</t>
  </si>
  <si>
    <t>Applies. At this size it is perhaps six pages. Its real job is to fix the audit boundary before the auditor fixes it for you.</t>
  </si>
  <si>
    <t>POL-ISP-001 §8</t>
  </si>
  <si>
    <t>ISP plan Phase 2 task 3 drafts the system security plan; listed as an evidence artifact.</t>
  </si>
  <si>
    <t>Nothing outstanding. Add an annual review to the ISP plan Operational Cadence.</t>
  </si>
  <si>
    <t>CC2.1-02</t>
  </si>
  <si>
    <t>An asset inventory covers systems, SaaS, cloud resources and repositories, each with a named owner and its data classification.</t>
  </si>
  <si>
    <t>Secureframe Asset Inventory populates from the AWS, GitHub and identity integrations. Review unassigned owners at the quarterly report rather than before the audit.</t>
  </si>
  <si>
    <t>Asset inventory export</t>
  </si>
  <si>
    <t>Applies. The inventory is what makes every other control provable, because it defines what “all systems” actually means.</t>
  </si>
  <si>
    <t>Uddyan</t>
  </si>
  <si>
    <t>POL-AM-001 §5 + POL-AC-001 §15</t>
  </si>
  <si>
    <t>Asset Management plan Phase 1 task 1 stands up the inventory with an owner per asset; Access Control plan Phase 1 task 1 builds the system inventory.</t>
  </si>
  <si>
    <t>CC2.1-03</t>
  </si>
  <si>
    <t>Information is classified and handled according to its sensitivity, and classifications are recorded against the assets that hold it.</t>
  </si>
  <si>
    <t>Record the classification as an asset attribute so it travels with the inventory. Do not maintain a second spreadsheet.</t>
  </si>
  <si>
    <t>Classification scheme and repository inventory</t>
  </si>
  <si>
    <t>Applies. Client testing evidence is the highest classification you hold; make sure the scheme names it explicitly.</t>
  </si>
  <si>
    <t>POL-DCL-001 §5, §6</t>
  </si>
  <si>
    <t>Data Classification plan Phase 1 publishes the scheme, classifies repositories and records classifications in the asset inventory.</t>
  </si>
  <si>
    <t>CC2.1-04</t>
  </si>
  <si>
    <t>Logging and monitoring produce records complete and reliable enough to base control and incident decisions on.</t>
  </si>
  <si>
    <t>AWS + Secureframe</t>
  </si>
  <si>
    <t>Enable cloud audit trails on every production account and identity provider logging; alert on any attempt to disable them.</t>
  </si>
  <si>
    <t>Log configuration evidence and retention settings</t>
  </si>
  <si>
    <t>Applies. For a testing firm this is also how you prove what you did and did not touch in a client environment.</t>
  </si>
  <si>
    <t>POL-LOG-001 §6, §8</t>
  </si>
  <si>
    <t>Logging plan Phase 1 enables cloud audit trails and identity logging and verifies they cannot be disabled outside change management.</t>
  </si>
  <si>
    <t>CC2.1-05</t>
  </si>
  <si>
    <t>Security objectives are set annually with defined metrics, baselined and measured against actual performance.</t>
  </si>
  <si>
    <t>Reuse the metrics you already have: control operating effectiveness, deficiencies open past date, training completion, vulnerability remediation time.</t>
  </si>
  <si>
    <t>Objectives and metrics with baseline values</t>
  </si>
  <si>
    <t>Applies. Four metrics is enough. Metrics nobody reviews are worse than none.</t>
  </si>
  <si>
    <t>POL-ISP-001 §5</t>
  </si>
  <si>
    <t>ISP plan Phase 2 task 2 defines annual security objectives and metrics and baselines current values.</t>
  </si>
  <si>
    <t>Internal communication</t>
  </si>
  <si>
    <t>4 of 6</t>
  </si>
  <si>
    <t>On change</t>
  </si>
  <si>
    <t>Publish from the repo; push the approved PDF to Secureframe Policies, which notifies and chases automatically.</t>
  </si>
  <si>
    <t>Publication record and notification log</t>
  </si>
  <si>
    <t>Applies. A policy nobody was told about has not been communicated, however well it is written.</t>
  </si>
  <si>
    <t>POL-ISP-001 §6</t>
  </si>
  <si>
    <t>ISP plan Phase 1 task 1 publishes the policy set to the repository and notifies all personnel.</t>
  </si>
  <si>
    <t>CC2.2-02</t>
  </si>
  <si>
    <t>Security responsibilities are communicated in writing and acknowledged as a condition of employment or engagement.</t>
  </si>
  <si>
    <t>Same acknowledgement that satisfies CC1.1-02 and CC1.5-01. Do not run a third one.</t>
  </si>
  <si>
    <t>Applies. One acceptance covers three criteria; keep it that way.</t>
  </si>
  <si>
    <t>HRS plan Phase 1 task 2 puts policy-acceptance terms into offer and engagement templates.</t>
  </si>
  <si>
    <t>CC2.2-03</t>
  </si>
  <si>
    <t>Security awareness training is delivered at onboarding and annually, supported by periodic awareness communications.</t>
  </si>
  <si>
    <t>Built-in training with auto-enrolment and annual reset; use the advisory channel for the periodic communications.</t>
  </si>
  <si>
    <t>Training completion report and awareness archive</t>
  </si>
  <si>
    <t>Applies. The awareness communications part is what turns a once-a-year tick into ongoing communication.</t>
  </si>
  <si>
    <t>POL-SAT-001 §5, §11</t>
  </si>
  <si>
    <t>SAT plan Phase 1 and Phase 2 assign training, set the annual recurrence and establish the periodic awareness communication channel.</t>
  </si>
  <si>
    <t>CC2.2-04</t>
  </si>
  <si>
    <t>Personnel report suspected security weaknesses and incidents through a published channel, and good-faith reporting is protected.</t>
  </si>
  <si>
    <t>One monitored alias, briefed at onboarding and repeated in training. No form, no triage tree.</t>
  </si>
  <si>
    <t>Channel record and incident register entries</t>
  </si>
  <si>
    <t>Applies. Expect very few reports. Brief people that reporting early and being wrong is the outcome you want.</t>
  </si>
  <si>
    <t>POL-IRP-001 §7 + POL-COC-001 §16</t>
  </si>
  <si>
    <t>Incident Response plan Phase 1 task 1 publishes the reporting channel and briefs personnel that immediate good-faith reporting is expected and protected.</t>
  </si>
  <si>
    <t>One page, generated from the control matrix and the plan of action. Put it on the compliance calendar so it cannot be forgotten.</t>
  </si>
  <si>
    <t>Quarterly report, four per year</t>
  </si>
  <si>
    <t>Applies. This is the single most sampled artifact in a Type II. Four reports in the file beats one long one.</t>
  </si>
  <si>
    <t>ISP plan Phase 3 task 2 presents program status, metrics and the plan of action to the Committee once. No quarterly cadence is established.</t>
  </si>
  <si>
    <t>Add to ISP plan Operational Cadence: written report to the Steering Committee — quarterly, within 15 days of quarter end, covering control status, deficiencies and metrics.</t>
  </si>
  <si>
    <t>A second alias routing only to the CEO. Name it in the Code of Conduct alongside the security channel so both appear in the same paragraph.</t>
  </si>
  <si>
    <t>Documented channel plus report log or nil return</t>
  </si>
  <si>
    <t>Applies, and matters more here than at a larger company: the Security Officer is a contractor, which is exactly the case the bypass exists for.</t>
  </si>
  <si>
    <t>POL-ISP-001 §7 + POL-COC-001 §16</t>
  </si>
  <si>
    <t>No ethics or bypass channel appears in any of the 20 plans. Same gap as CC1.1-04.</t>
  </si>
  <si>
    <t>Add to HRS plan Phase 1: create an ethics alias routing only to the CEO, name it in the Code of Conduct, and state the anti-retaliation commitment.</t>
  </si>
  <si>
    <t>External communication</t>
  </si>
  <si>
    <t>Contracts + this workbook</t>
  </si>
  <si>
    <t>Keep a one-page commitments register listing each promise and the control that delivers it. Review it when the annual assessment is run.</t>
  </si>
  <si>
    <t>Commitments register with annual review note</t>
  </si>
  <si>
    <t>Applies, and it is the control that catches over-promising in a sales conversation before an auditor or a customer does.</t>
  </si>
  <si>
    <t>POL-ISP-001 §9 + POL-VM-001 §12</t>
  </si>
  <si>
    <t>No plan records customer-facing security commitments or reviews them against controls in operation.</t>
  </si>
  <si>
    <t>Add to ISP plan Phase 2: build the customer commitments register, and add an annual review of commitments against operating controls to the Operational Cadence.</t>
  </si>
  <si>
    <t>CC2.3-02</t>
  </si>
  <si>
    <t>A monitored security contact address is published externally so third parties can report vulnerabilities, and reports are triaged under the Incident Response Policy.</t>
  </si>
  <si>
    <t>Website + Google Workspace</t>
  </si>
  <si>
    <t>Publish on the website and add a security.txt file. Both are ten minutes of work and both are what a researcher looks for first.</t>
  </si>
  <si>
    <t>Published address, security.txt, triage records</t>
  </si>
  <si>
    <t>Applies with force for a security firm. Being hard to report a vulnerability to is a poor look in this particular market.</t>
  </si>
  <si>
    <t>POL-ISP-001 §9 + POL-IRP-001 §7</t>
  </si>
  <si>
    <t>Incident Response plan Phase 1 task 1 publishes security@ and briefs personnel. External publication for third-party reporters is not stated.</t>
  </si>
  <si>
    <t>Extend Incident Response plan Phase 1 task 1: publish the address externally on the website and in a security.txt file, and include externally reported vulnerabilities in the triage path.</t>
  </si>
  <si>
    <t>CC2.3-03</t>
  </si>
  <si>
    <t>A current list of sub-processors and third parties that process customer data is maintained, and customers are notified of material changes.</t>
  </si>
  <si>
    <t>Derive it from the vendor inventory rather than maintaining a second list; publish the subset that processes customer data.</t>
  </si>
  <si>
    <t>Sub-processor list with change history</t>
  </si>
  <si>
    <t>Applies. Your Privacy Policy already promises this list on request, so the promise exists whether or not the list does.</t>
  </si>
  <si>
    <t>POL-VM-001 §12 + POL-PRIV-001 (not in the library)</t>
  </si>
  <si>
    <t>Vendor Management plan Phase 1 builds the vendor inventory with data shared per vendor. No customer-facing sub-processor list and no customer notification on change.</t>
  </si>
  <si>
    <t>Add to Vendor Management plan Phase 2: derive and publish the sub-processor list from the vendor inventory, and define the customer notification step for material changes.</t>
  </si>
  <si>
    <t>CC2.3-04</t>
  </si>
  <si>
    <t>Obligations to notify customers after a security incident, including triggers and timeframes, are defined and templated.</t>
  </si>
  <si>
    <t>On incident</t>
  </si>
  <si>
    <t>Incident register</t>
  </si>
  <si>
    <t>Keep the notification matrix and letter templates with the playbooks so they are found under pressure, not searched for.</t>
  </si>
  <si>
    <t>Notification matrix and templates</t>
  </si>
  <si>
    <t>Applies. The 24-hour processor notification in the Privacy Policy needs to match whatever the matrix says.</t>
  </si>
  <si>
    <t>POL-IRP-001 §11 + POL-PRIV-001 §16 (not in the library)</t>
  </si>
  <si>
    <t>Incident Response plan Phase 2 task 2 maps customer and regulatory notification obligations and deadlines with counsel and templates the letters.</t>
  </si>
  <si>
    <t>Nothing outstanding. Confirm the matrix matches the periods stated in POL-PRIV-001 Section 16.</t>
  </si>
  <si>
    <t>Per commitment</t>
  </si>
  <si>
    <t>Engagement intake</t>
  </si>
  <si>
    <t>One line in the engagement intake checklist. No workflow needed at this size.</t>
  </si>
  <si>
    <t>Reviewed questionnaire and proposal records</t>
  </si>
  <si>
    <t>Applies. In a two-person company the person answering the security questionnaire is often the person selling, which is precisely the risk.</t>
  </si>
  <si>
    <t>POL-ISP-001 §9</t>
  </si>
  <si>
    <t>No plan requires review of security commitments before they are given to a customer or prospect.</t>
  </si>
  <si>
    <t>Add to ISP plan Phase 2: add a Security Officer review step to the engagement intake checklist for every security questionnaire, proposal or contractual commitment.</t>
  </si>
  <si>
    <t>CC2.3-06</t>
  </si>
  <si>
    <t>Vendors receive the Company's security requirements, and complementary user entity controls are communicated to customers.</t>
  </si>
  <si>
    <t>On onboarding + annual</t>
  </si>
  <si>
    <t>Vendor requirements go in the contract at intake. Put the customer-side controls in the report description and repeat them in onboarding material.</t>
  </si>
  <si>
    <t>Vendor contract clauses and stated user entity controls</t>
  </si>
  <si>
    <t>Applies. The user entity control half is routinely forgotten and is asked about directly in a SOC 2 report.</t>
  </si>
  <si>
    <t>POL-VM-001 §6, §12</t>
  </si>
  <si>
    <t>Vendor Management plan Phase 2 task 3 requires Security Officer approval before data is shared and remediates contract gaps. Complementary user entity controls are not mentioned anywhere.</t>
  </si>
  <si>
    <t>Add to Vendor Management plan Phase 2: define the complementary user entity controls customers must operate, and state where they are communicated.</t>
  </si>
  <si>
    <t>Columns N to Q assess the same 20 implementation plans in Plan.zip that were used for CC1. CC2 assessed 10 Yes, 4 Partial, 3 No. CC2.1 is fully covered because the plans are strong on information and inventory; CC2.3 is the weakest area in the whole set, because nothing in the plans addresses what the Company tells its customers.</t>
  </si>
  <si>
    <t>CC3 — Risk Assessment</t>
  </si>
  <si>
    <t>20 control activities across CC3.1–CC3.4.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</si>
  <si>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In the policies?</t>
  </si>
  <si>
    <t>What the policy set says</t>
  </si>
  <si>
    <t>Objectives specified with sufficient clarity</t>
  </si>
  <si>
    <t>CC3.1-01</t>
  </si>
  <si>
    <t>Security objectives are set annually, expressed in measurable terms, and approved by the Steering Committee.</t>
  </si>
  <si>
    <t>Reuse the four metrics POL-RSK-001 §17 already names — control operating effectiveness, incident trends, vulnerability remediation timeliness, training completion. Record the approved set in the Annual Assessment so objectives and assessment stay in one document.</t>
  </si>
  <si>
    <t>Approved objectives with baseline values</t>
  </si>
  <si>
    <t>Applies. Objectives have to be specific enough that a risk can be identified against each one. “Be secure” is not an objective; “no Confidential data leaves a managed repository” is.</t>
  </si>
  <si>
    <t>POL-ISP-001 §5 + POL-RSK-001 §5, §17</t>
  </si>
  <si>
    <t>POL-RSK-001 §5 requires objectives set annually by the Steering Committee and expressed with sufficient clarity that risks to their achievement can be identified. §17 requires metrics reviewed against those objectives. POL-ISP-001 §5 states the same requirement and names the four metrics.</t>
  </si>
  <si>
    <t>Nothing outstanding in policy. The gap is operational: this year’s objectives have not been set or baselined. Do it at the annual assessment and the control moves from 1 to 2.</t>
  </si>
  <si>
    <t>CC3.1-02</t>
  </si>
  <si>
    <t>The system boundary, service commitments and system requirements are defined and used as the stated scope of the risk assessment.</t>
  </si>
  <si>
    <t>No new document. The risk assessment opens by referencing the System Security Plan boundary rather than restating it, so the two cannot drift apart.</t>
  </si>
  <si>
    <t>System Security Plan boundary section, cited by the risk assessment</t>
  </si>
  <si>
    <t>Applies. Same document as CC2.1-01. The risk assessment inherits its scope from the SSP, which means the annual SSP review and the annual risk assessment belong in the same sitting.</t>
  </si>
  <si>
    <t>POL-ISP-001 §8 + POL-RSK-001 §2</t>
  </si>
  <si>
    <t>POL-ISP-001 requires a System Security Plan describing system boundaries, environments of operation and implemented controls. POL-RSK-001 §2 scopes risk to personnel, devices, AWS, AI and agentic systems, vendors, engagements and legal obligations. Neither states that the risk assessment scope is taken from the SSP boundary.</t>
  </si>
  <si>
    <t>Add one clause to POL-RSK-001 §2: the scope of each assessment is the boundary defined in the System Security Plan as at the assessment date. Without it the two documents will describe different systems by year two.</t>
  </si>
  <si>
    <t>This workbook + contracts</t>
  </si>
  <si>
    <t>Extend the customer commitments register from CC2.3-01 with a source column rather than starting a second list. One page covers DPAs, client contract security schedules and breach notification duties.</t>
  </si>
  <si>
    <t>Obligations register with annual review note</t>
  </si>
  <si>
    <t>Applies. The list is short at this size, which is the point — it is what makes a risk relevant to this company rather than generic. An obligation you cannot name is one you cannot show you assessed.</t>
  </si>
  <si>
    <t>POL-ISP-001 §9 + POL-COC-001 §15 (no register owner named)</t>
  </si>
  <si>
    <t>No policy requires an obligations register. POL-RSK-001 §6 treats legal and regulatory change and client contractual commitments as inputs to risk identification; POL-COC-001 §10 requires personnel to comply with client obligations; POL-AI-001 records client AI obligations in the engagement file. Nothing consolidates them or requires an annual review.</t>
  </si>
  <si>
    <t>Add a clause to POL-ISP-001 requiring a single obligations register with an annual review, owned by the CEO. Build it as a tab beside the commitments register — the two share a source and should not be maintained twice.</t>
  </si>
  <si>
    <t>CC3.1-04</t>
  </si>
  <si>
    <t>A risk appetite statement defines which risks are accepted without treatment, which must be treated, and who may accept them.</t>
  </si>
  <si>
    <t>Already written. Configure the register so the treatment due-date bands at §9 are computed from the residual score rather than typed in by hand.</t>
  </si>
  <si>
    <t>POL-RSK-001 §9 treatment table and appetite statement</t>
  </si>
  <si>
    <t>Applies. Without a stated threshold every acceptance is an ad hoc judgement and an auditor cannot test whether they were applied consistently — which is the whole test.</t>
  </si>
  <si>
    <t>POL-RSK-001 §9, §16</t>
  </si>
  <si>
    <t>POL-RSK-001 §9 sets a five-band treatment table with residual score ranges, required response, treatment due date and who may accept, and states the appetite: no risk shall remain untreated at a residual score of 12 or above. §16 requires written Committee acceptance with a review date no more than twelve months ahead.</t>
  </si>
  <si>
    <t>Nothing outstanding in policy — this is the strongest row in CC3. One defect to fix at the next revision: §4 and §8 both cite “Section 8” for the risk appetite, which is at Section 9.</t>
  </si>
  <si>
    <t>Add an objective field to the control matrix built for CC1.5-03. One column of work, done once, and it is what makes the quarterly report readable by someone who is not the Security Officer.</t>
  </si>
  <si>
    <t>Control matrix showing the objective served by each control</t>
  </si>
  <si>
    <t>Applies. This is the link that turns the control matrix from a checklist into a risk instrument, and it is the cheapest row in CC3 to satisfy if the matrix is built with the field from the start.</t>
  </si>
  <si>
    <t>POL-ISP-001 §8 → control matrix (link not yet required)</t>
  </si>
  <si>
    <t>POL-RSK-001 §5 and §9 require the mapping from risk to control to be recorded in the register. No policy requires a mapping from objective to control, which is the direction CC3.1 tests. §17 comes closest by requiring metrics to be reviewed against objectives.</t>
  </si>
  <si>
    <t>Extend the POL-RSK-001 §9 mapping clause: record the objective each control serves as well as the risk it treats. One field on the control matrix closes it.</t>
  </si>
  <si>
    <t>Identifies and analyzes risk</t>
  </si>
  <si>
    <t>7 of 7</t>
  </si>
  <si>
    <t>CC3.2-01</t>
  </si>
  <si>
    <t>A documented methodology defines the likelihood and impact scales, how they combine into a score, and the threshold at which a risk must be treated.</t>
  </si>
  <si>
    <t>Annual review</t>
  </si>
  <si>
    <t>Already written. The work is to make the register compute the score and the treatment due date rather than accept typed values.</t>
  </si>
  <si>
    <t>POL-RSK-001 §7 to §9 scales, matrix and thresholds</t>
  </si>
  <si>
    <t>Applies. Two people can hold the whole risk picture in their heads, which is precisely why the scales must be written down — otherwise last year’s “high” and this year’s are not the same thing and the trend means nothing.</t>
  </si>
  <si>
    <t>POL-RSK-001 §7, §8, §9</t>
  </si>
  <si>
    <t>POL-RSK-001 §7 defines 1–5 likelihood and impact scales with the score as their product, requires inherent and residual both recorded, and requires a written rationale per score. §8 adds a reachability and exploitability matrix setting a minimum likelihood, with CISA KEV entries floored at 4. §9 sets the treatment bands.</t>
  </si>
  <si>
    <t>Nothing outstanding in policy, and §8 goes well beyond what CC3.2 requires. STD-RSK-001 is unnecessary — the scales are already in the policy and moving them now would only create a second source.</t>
  </si>
  <si>
    <t>CC3.2-02</t>
  </si>
  <si>
    <t>A formal risk assessment is performed at least annually and repeated whenever a change trigger fires.</t>
  </si>
  <si>
    <t>Annual + on trigger</t>
  </si>
  <si>
    <t>Put the annual run on the compliance calendar and the §12 trigger list in the engagement and vendor intake checklists, so the event-driven runs happen where the change originates rather than being remembered later.</t>
  </si>
  <si>
    <t>Dated risk assessment report per run</t>
  </si>
  <si>
    <t>Applies. One assessment a year is the floor. At this stage of the company the trigger-driven runs will outnumber the annual one, and those are the ones that demonstrate the process is live.</t>
  </si>
  <si>
    <t>POL-RSK-001 §5, §12</t>
  </si>
  <si>
    <t>POL-RSK-001 §5 requires a full risk assessment at least annually with targeted reassessment on any significant change under §12. §18 makes proceeding with a significant change without that reassessment a serious violation.</t>
  </si>
  <si>
    <t>Nothing outstanding in policy. No assessment has been run yet — the first run is what moves this from 1 to 2.</t>
  </si>
  <si>
    <t>CC3.2-03</t>
  </si>
  <si>
    <t>A risk register records each risk with an owner, an inherent score, the treatment decision, a residual score and a review date.</t>
  </si>
  <si>
    <t>Quarterly review</t>
  </si>
  <si>
    <t>Secureframe Risk Register holds every §10 field natively. Review it at the quarterly report rather than before the audit, and never keep a second copy in a spreadsheet.</t>
  </si>
  <si>
    <t>Risk register export</t>
  </si>
  <si>
    <t>Applies. Inherent and residual both matter: residual alone hides how much the treatment is doing, and an auditor asks what would happen if the treatment stopped.</t>
  </si>
  <si>
    <t>POL-RSK-001 §10</t>
  </si>
  <si>
    <t>POL-RSK-001 §10 specifies twelve required fields — identifier, threat, vulnerability and consequence, affected assets and data types, inherent score, existing controls, residual score, treatment, owner, agreed date, status and review date — requires accepted risks recorded alongside treated ones, and forbids deletion of entries.</t>
  </si>
  <si>
    <t>Nothing outstanding in policy. Configure the register to the §10 field list before the first assessment, and seed the CC1.2 independence-limitation entry that CC1.2-03 requires.</t>
  </si>
  <si>
    <t>CC3.2-04</t>
  </si>
  <si>
    <t>Risk identification covers the entity itself, its vendors and sub-processors, and the AI models and agentic components in the service.</t>
  </si>
  <si>
    <t>Run the identification pass in the three sweeps the policy already separates — §6 entity, §13 vendor, §14 AI — and record the ATLAS version referenced, as §14 requires.</t>
  </si>
  <si>
    <t>Risk assessment showing all three sweeps and the taxonomy version</t>
  </si>
  <si>
    <t>Applies with force. Agentic components fail in ways a conventional register does not anticipate — prompt injection, tool misuse, unbounded action, model supply chain. A register without them is incomplete for this company specifically, whatever it says about the rest.</t>
  </si>
  <si>
    <t>POL-RSK-001 §6, §13, §14</t>
  </si>
  <si>
    <t>POL-RSK-001 §6 lists eight identification sources and requires size-related risks recorded explicitly. §13 covers vendors and subservice organisations including concentration risk. §14 requires AI risk enumerated against MITRE ATLAS supported by the OWASP LLM Top 10 and the NIST Generative AI Profile, names nine ATLAS tactic categories, requires every untrusted-content path to a tool-enabled model enumerated, and requires categories assessed as not applicable to be recorded rather than omitted.</t>
  </si>
  <si>
    <t>Nothing outstanding, and §14 is materially stronger than most CC3.2 coverage at any company size. Carry the ATLAS version into the assessment template so it is captured by default.</t>
  </si>
  <si>
    <t>CC3.2-05</t>
  </si>
  <si>
    <t>Every risk above the treatment threshold has a treatment plan with a named owner and a target date, and progress is reported quarterly.</t>
  </si>
  <si>
    <t>Same plan of action already used for CC1.5-04. One list, not a second risk-only tracker, routed to the same task project so overdue treatments surface on their own.</t>
  </si>
  <si>
    <t>Treatment plans and quarterly progress record</t>
  </si>
  <si>
    <t>Applies. The failure mode at this size is not identifying risks — it is that treatments have no date and drift for a year. The date is the control.</t>
  </si>
  <si>
    <t>POL-RSK-001 §9, §17</t>
  </si>
  <si>
    <t>POL-RSK-001 §9 requires every treatment to carry a named owner, an agreed date and a defined completion test, with treatments open beyond their agreed date escalated to the CEO. §17 requires quarterly reporting to the Steering Committee on the risk profile, movements, overdue treatments and newly accepted risks.</t>
  </si>
  <si>
    <t>Nothing outstanding in policy. The completion test per treatment is the clause most often skipped in practice — make it a required field so it cannot be.</t>
  </si>
  <si>
    <t>CC3.2-06</t>
  </si>
  <si>
    <t>Risk acceptances are approved by the CEO and recorded with the rationale, the decider, the date and an expiry.</t>
  </si>
  <si>
    <t>Use the Governance Log tab with type = ‘Risk acceptance’, and put the register entry identifier in the Reference column so the log and the register point at each other.</t>
  </si>
  <si>
    <t>Governance Log entry linked to the register</t>
  </si>
  <si>
    <t>Applies. An acceptance without an expiry becomes permanent by default, which is how a temporary decision turns into an unexplained exclusion two audits later.</t>
  </si>
  <si>
    <t>POL-RSK-001 §16</t>
  </si>
  <si>
    <t>POL-RSK-001 §16 requires written Steering Committee acceptance for residual scores of 12 or above, recording the rationale and the compensating controls, with a review date no more than twelve months ahead. Policy exceptions are recorded as accepted risks so exceptions and risks sit in one place, and acceptance is forbidden where it would breach a legal or client obligation.</t>
  </si>
  <si>
    <t>Nothing outstanding in policy. Below score 12 the Security Officer accepts under §9 — log those too, or the Governance Log will show only the escalated minority.</t>
  </si>
  <si>
    <t>CC3.2-07</t>
  </si>
  <si>
    <t>Vendors and sub-processors are risk-assessed before onboarding and reassessed annually where they process customer data.</t>
  </si>
  <si>
    <t>Vendor risk rating as an attribute of the vendor inventory, with reassessment set on the critical subset only. Do not run a full questionnaire against a vendor that holds no customer data.</t>
  </si>
  <si>
    <t>Vendor risk ratings and reassessment records</t>
  </si>
  <si>
    <t>Applies. The inventory records what is shared with a vendor; the assessment records what happens if that vendor fails. They are different artifacts and the second one is the control.</t>
  </si>
  <si>
    <t>POL-RSK-001 §13 + POL-VM-001 §5, §7</t>
  </si>
  <si>
    <t>POL-RSK-001 §13 requires assessment under POL-VM-001 before Confidential or Restricted information is shared, criticality and data-sensitivity rating, annual review of the AWS assurance report with complementary user entity controls confirmed, concentration risk recorded and reassessed annually, and reassessment on renewal, material service change or vendor incident. POL-VM-001 adds provider deprecation and model retirement notices as reassessment triggers.</t>
  </si>
  <si>
    <t>Nothing outstanding in policy. The annual AWS assurance review at §13 is a dated task with no calendar entry yet — attach it to the annual risk assessment event.</t>
  </si>
  <si>
    <t>Considers the potential for fraud</t>
  </si>
  <si>
    <t>3 of 4</t>
  </si>
  <si>
    <t>CC3.3-01</t>
  </si>
  <si>
    <t>The annual risk assessment includes a fraud section covering fraudulent reporting, misappropriation of assets, corruption, and management override of controls.</t>
  </si>
  <si>
    <t>A section of the same risk assessment, not a separate exercise. The four company-specific fraud risks at §11 are already written — lift them into the template as standing headings.</t>
  </si>
  <si>
    <t>Fraud section of the risk assessment</t>
  </si>
  <si>
    <t>Applies, and cannot be marked N/A on the grounds that the company is small. Small headcount is the condition under which fraud risk is highest, because segregation is limited and one person can complete a transaction end to end.</t>
  </si>
  <si>
    <t>POL-RSK-001 §11 + POL-COC-001 §5, §13</t>
  </si>
  <si>
    <t>POL-RSK-001 §11 requires fraud considered explicitly, including misappropriation of assets, falsification of records and management override, and names four company-specific risks: alteration or suppression of assessment findings to satisfy a client or preserve revenue, falsification of timesheets, invoices or expenses, misrepresentation of qualifications or work performed, and misuse of privileged access to client systems. POL-COC-001 forbids altering, omitting or overstating findings.</t>
  </si>
  <si>
    <t>Nothing outstanding in policy. Corruption and bribery is the one heading not named explicitly — add a line at §11 if any client is government or government-adjacent.</t>
  </si>
  <si>
    <t>CC3.3-02</t>
  </si>
  <si>
    <t>Insider misuse of privileged access — including standing access held inside customer environments — is assessed explicitly as a fraud risk.</t>
  </si>
  <si>
    <t>Tie it to the logging already required for CC2.1-04: the assessment names the risk and the logs are the detective control. Name the log source in the register entry so the pairing is visible.</t>
  </si>
  <si>
    <t>Register entry naming the detective control</t>
  </si>
  <si>
    <t>Applies with force, and this is the row most likely to be missed. Standing access to client environments is the single largest fraud exposure this company has, and it appears on no conventional small-company fraud checklist.</t>
  </si>
  <si>
    <t>POL-RSK-001 §11 + POL-AC-001 §9, §14 + POL-LOG-001 §12</t>
  </si>
  <si>
    <t>POL-RSK-001 §11 names misuse of privileged access to client systems for personal or competitive advantage as a company-specific fraud risk, and lists logging of privileged access among the compensating controls for management override. §14 separately forbids agentic systems holding standing privileged access to production or client environments.</t>
  </si>
  <si>
    <t>Nothing outstanding in policy. Confirm the logging required by POL-LOG-001 actually reaches access exercised inside a client tenant — that is usually the client’s log source rather than the Company’s, and it is where this control fails in practice.</t>
  </si>
  <si>
    <t>CC3.3-03</t>
  </si>
  <si>
    <t>The potential for management override of controls is assessed, and the compensating controls are documented given a single-member Steering Committee.</t>
  </si>
  <si>
    <t>Use the same Annual Assessment that already carries the CC1.2 independence limitation and the CC1.3-05 segregation conclusion. One document, one signature, three related limitations stated together.</t>
  </si>
  <si>
    <t>Management override section of the Annual Assessment</t>
  </si>
  <si>
    <t>Applies, and is the hardest row in CC3 at this size, because the person who could override the controls is the person signing the assessment. Say that plainly and name what compensates. A stated limitation is defensible; silence is not.</t>
  </si>
  <si>
    <t>POL-RSK-001 §11 + POL-ISP-001 §8 → FRM-CE-001</t>
  </si>
  <si>
    <t>POL-RSK-001 §11 treats management override as a standing risk because the Company’s size prevents full segregation, and names three compensating controls: CEO review of the Security Officer’s control assessments, second review of assessment deliverables, and logging of privileged access. §17 requires self-assessments not performed solely by the control operator, and where size prevents that, review and signature by the CEO.</t>
  </si>
  <si>
    <t>Nothing outstanding in policy, but state the residual weakness in the assessment: two of the three compensating controls are performed by the CEO, who is the person the override risk concerns. Immutable logging and the external auditor are what actually compensate — say so.</t>
  </si>
  <si>
    <t>CC3.3-04</t>
  </si>
  <si>
    <t>Suspected fraud is handled under the conduct process, and a nil return is recorded annually where there has been none.</t>
  </si>
  <si>
    <t>As they occur + annual</t>
  </si>
  <si>
    <t>Same ‘conduct’ issue label as CC1.1-05 and CC1.5-05. One process, one record type, three criteria satisfied. Never handle these in email.</t>
  </si>
  <si>
    <t>Case record per event, or annual nil return</t>
  </si>
  <si>
    <t>Applies. Expect a nil return in year one and record it affirmatively. An empty file and an unperformed process are indistinguishable to an auditor.</t>
  </si>
  <si>
    <t>POL-RSK-001 §11, §18 + POL-COC-001 §16, §18</t>
  </si>
  <si>
    <t>POL-RSK-001 §11 points to POL-COC-001 for ethical expectations, disclosure duties and non-retaliation, and §18 requires disciplinary decisions documented by the Security Officer and applied consistently. §6 allows personnel to raise a risk without attribution and prohibits retaliation. No policy requires a nil return where no case arose.</t>
  </si>
  <si>
    <t>Add the nil return to POL-RSK-001 §17 alongside the quarterly report: where no fraud or conduct case arose in the period, record that fact. One line, and it is the difference between an unperformed control and a clean year.</t>
  </si>
  <si>
    <t>Identifies and assesses significant change</t>
  </si>
  <si>
    <t>2 of 4</t>
  </si>
  <si>
    <t>CC3.4-01</t>
  </si>
  <si>
    <t>A defined list states what obliges a risk reassessment: new product or model, new customer segment, new vendor or sub-processor, new jurisdiction, infrastructure change, material headcount change, regulatory change.</t>
  </si>
  <si>
    <t>Annual review of the list</t>
  </si>
  <si>
    <t>The list exists at §12. Repeat it as one line in the engagement intake checklist and the vendor intake form, so the trigger is met where the change actually originates.</t>
  </si>
  <si>
    <t>POL-RSK-001 §12 trigger list, restated at intake</t>
  </si>
  <si>
    <t>Applies. At this stage of the company almost everything is a change, so the value of the list is not completeness — it is that reassessment stops being a judgement call made under time pressure.</t>
  </si>
  <si>
    <t>POL-RSK-001 §12</t>
  </si>
  <si>
    <t>POL-RSK-001 §12 lists seven significant-change triggers: a client engagement involving PHI, special category data or production access to a client environment; a new AWS Region, account or service class, or material network or identity change; a new AI service, model provider or hosting arrangement, or a grant of tool access to an agentic system; a new vendor or subprocessor handling Confidential or Restricted data; a material headcount or responsibility change, or departure of privileged personnel; a change in law or a new client security commitment; and a significant or repeat incident or control failure.</t>
  </si>
  <si>
    <t>Nothing outstanding in policy — the list is more specific than the one this row was drafted against. The gap is that it appears nowhere in intake, which is where a trigger is actually encountered.</t>
  </si>
  <si>
    <t>CC3.4-02</t>
  </si>
  <si>
    <t>When a trigger fires the risk assessment is refreshed and the change is approved before it goes live.</t>
  </si>
  <si>
    <t>On trigger</t>
  </si>
  <si>
    <t>One issue in the governance repo per trigger, closed by the updated register entry. Most changes will take ten minutes; the record is what proves the process runs.</t>
  </si>
  <si>
    <t>Trigger record closed by the updated register entry</t>
  </si>
  <si>
    <t>Applies. Most triggers will conclude “assessed, no new risk”. Record that outcome — it is the evidence the trigger process operates, and it is the only thing distinguishing a live process from a dormant one.</t>
  </si>
  <si>
    <t>POL-RSK-001 §12, §18 + POL-CM-001 §5, §12</t>
  </si>
  <si>
    <t>POL-RSK-001 §12 requires reassessment before the change takes effect, or immediately afterwards where the change is unplanned. §18 makes proceeding without that reassessment, and concealment of a known risk, serious violations.</t>
  </si>
  <si>
    <t>Nothing outstanding in policy. Record the “assessed, no new risk” outcome as well as the ones that change the register, or the evidence will show only the exceptional cases.</t>
  </si>
  <si>
    <t>CC3.4-03</t>
  </si>
  <si>
    <t>Changes to the system boundary are reflected in the System Security Plan and the asset inventory.</t>
  </si>
  <si>
    <t>Make the SSP update part of closing the trigger issue, and regenerate the asset sections from Secureframe rather than editing them by hand.</t>
  </si>
  <si>
    <t>SSP version history and asset inventory export</t>
  </si>
  <si>
    <t>Applies. A boundary that has drifted from the SSP is the first thing an auditor finds, because every other control is scoped from that document.</t>
  </si>
  <si>
    <t>POL-ISP-001 §8 + POL-AM-001 §5 + POL-RSK-001 §6</t>
  </si>
  <si>
    <t>POL-ISP-001 requires a System Security Plan describing boundaries and environments. POL-AM-001 requires a current inventory with owner, classification and source system, and POL-RSK-001 §6 requires an inventory sufficient to support identification, covering AWS accounts and Regions, the SaaS estate, AI services and enrolled endpoints. No policy requires either artifact to be updated when a §12 trigger moves the boundary.</t>
  </si>
  <si>
    <t>Add to POL-RSK-001 §12: closing a trigger includes updating the System Security Plan and the asset inventory where the boundary moved. Both artifacts exist; nothing currently obliges them to keep up.</t>
  </si>
  <si>
    <t>CC3.4-04</t>
  </si>
  <si>
    <t>External change — the threat landscape, applicable regulation and AI-specific developments — is monitored and reviewed at least annually.</t>
  </si>
  <si>
    <t>Annual + continuous</t>
  </si>
  <si>
    <t>Two or three named sources, read as they publish, reviewed formally at the annual assessment and noted in the quarterly report. Do not buy a threat intelligence feed at this size.</t>
  </si>
  <si>
    <t>Environmental review note in the Annual Assessment</t>
  </si>
  <si>
    <t>Applies. The lightweight version is legitimate: name the sources actually read and record what changed as a result. An unsourced claim to “monitor the landscape” is not evidence of anything.</t>
  </si>
  <si>
    <t>POL-RSK-001 §6, §17 + POL-VM-001 §7 + POL-AI-001 §19</t>
  </si>
  <si>
    <t>POL-RSK-001 §6 treats legal and regulatory change as an identification source and §17 requires review on material change to the risk profile. POL-VM-001 requires provider deprecation notices, model retirement schedules and material terms changes to be monitored. POL-AI-001 states the EU AI Act is monitored for applicability. No policy names who monitors the threat landscape, from which sources, or on what cadence.</t>
  </si>
  <si>
    <t>Add a clause to POL-RSK-001 §17: the Security Officer names the sources monitored — CISA KEV is already relied on at §8 — and records at the annual assessment what changed and what it altered in the register. Monitoring that names no source cannot be evidenced.</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</si>
  <si>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Eighteen rows score 1 and two score 0. Adjust any row where you hold operating evidence a policy review could not see.</t>
  </si>
  <si>
    <t>An N/A with no rationale turns the rationale cell red. Nothing in CC3 is safely N/A. CC3.3 in particular is the criterion most often excluded on the grounds of size, and that is backwards — limited segregation is what makes fraud risk higher at two people, not lower. POL-RSK-001 §11 already takes the correct position by treating management override as a standing risk with named compensating controls.</t>
  </si>
  <si>
    <t>Use the outline buttons in the left margin (1 / 2, or the +/− next to each criterion) to collapse and expand. Level 1 shows the four criterion rows only; level 2 shows every control.</t>
  </si>
  <si>
    <t>Column N names the document and section that owns each control, verified against the approved policy library supplied in Polcies.zip — 22 policies and 5 standards, all v1.0, approved 23 July 2026 and signed by the CEO and the Security Officer. Columns O to Q assess this tab against that policy library rather than against the 20 implementation plans used on the CC1 and CC2 tabs, because the plans were not supplied; the column headers are labelled accordingly so the two bases are never confused. The result is 14 Yes, 4 Partial and 2 No. POL-RSK-001 is unusually strong for a company this size — Section 8 on exploitability and reachability, and Section 14 on AI and agentic risk, both go beyond what CC3.2 requires. The two No rows are the obligations register (CC3.1-03) and the objective-to-control link (CC3.1-05), neither of which any policy currently owns. Supply Plan.zip and the same 20 rows can be assessed against the plans on the CC1 and CC2 basis.</t>
  </si>
  <si>
    <t>CC4 — Monitoring Activities</t>
  </si>
  <si>
    <t>13 control activities across CC4.1–CC4.2.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</si>
  <si>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Ongoing and separate evaluations</t>
  </si>
  <si>
    <t>CC4.1-01</t>
  </si>
  <si>
    <t>A control self-assessment covering every in-scope control is performed at least annually, is not performed solely by the person who operates the control, and is reviewed and signed by the CEO.</t>
  </si>
  <si>
    <t>Same Annual Control Environment Assessment that carries CC1.2-04, CC1.3-05 and CC3.3-03. One document, one signature, one evidence artifact serving four criteria — do not split it.</t>
  </si>
  <si>
    <t>Signed annual control self-assessment</t>
  </si>
  <si>
    <t>Applies. This is the separate evaluation an auditor looks for first. At two people the independence requirement cannot be met literally, which is exactly why POL-ISP-001 §8 substitutes CEO signature — use that wording rather than inventing your own.</t>
  </si>
  <si>
    <t>POL-ISP-001 §8 + POL-RSK-001 §17</t>
  </si>
  <si>
    <t>POL-ISP-001 §8 requires the security program assessed at least annually through internal control self-assessment and, where contractually required, independent examination; states that self-assessments shall not be performed solely by the control operator; and where size prevents an independent assessor, requires the completed assessment reviewed and signed by the CEO. POL-RSK-001 §17 repeats the requirement and adds that results update residual risk scores.</t>
  </si>
  <si>
    <t>Nothing outstanding in policy. The first assessment has not been run — that is what moves this from 1 to 2.</t>
  </si>
  <si>
    <t>CC4.1-02</t>
  </si>
  <si>
    <t>Quarterly access reviews are performed across the systems in the audit boundary, producing a complete population and a recorded decision per entitlement, reconciled against reviews due.</t>
  </si>
  <si>
    <t>Drive the population from the identity provider and cloud accounts rather than a manual list, and export the reconciliation with the review. The reconciliation is the part auditors sample and the part most often missing.</t>
  </si>
  <si>
    <t>Quarterly access review records with reviewer, entitlement, decision and reconciliation</t>
  </si>
  <si>
    <t>Applies. POL-AC-001 §12 states the trap plainly — a review is only a control if it produces a complete population and a decision per entitlement. A screenshot of a user list is not a review.</t>
  </si>
  <si>
    <t>POL-AC-001 §12, §15</t>
  </si>
  <si>
    <t>POL-AC-001 §12 requires quarterly reviews across cloud accounts, code repositories, identity provider administration, production data stores and finance systems; requires reviewer, entitlement, decision and date recorded and reconciled to reviews due; requires the reviewer not to be the person whose access is under review; requires removals evidenced as removed rather than merely decided; and brings privileged, non-human and external access into the same record. §15 lists the resulting evidence.</t>
  </si>
  <si>
    <t>Nothing outstanding in policy. Note the tension with headcount: §12 forbids self-review, and at two people some entitlements have no independent reviewer. Record that limitation in the review itself rather than leaving it implicit.</t>
  </si>
  <si>
    <t>CC4.1-03</t>
  </si>
  <si>
    <t>Vulnerability scanning runs at least monthly on production infrastructure and continuously on code dependencies, supported by an annual penetration test, with remediation verified before closure.</t>
  </si>
  <si>
    <t>Monthly + annual</t>
  </si>
  <si>
    <t>AWS + CI/CD</t>
  </si>
  <si>
    <t>Scanning in the pipeline and on a schedule, findings routed to the same task project as failing Secureframe tests so the deficiency queue stays single.</t>
  </si>
  <si>
    <t>Scan records per period, finding population, rescan verification, annual penetration test report</t>
  </si>
  <si>
    <t>Applies with force for a testing firm. Being found to have an unscanned estate is a commercial problem here, not only an audit one.</t>
  </si>
  <si>
    <t>POL-VPM-001 §5, §13</t>
  </si>
  <si>
    <t>POL-VPM-001 §5 requires monthly automated scanning of production infrastructure, continuous dependency scanning through the pipeline, cloud configuration monitored against secure baselines with misconfigurations treated as vulnerabilities, and monitoring of vendor advisories and threat intelligence including actively exploited vulnerabilities. §13 requires scan records for every period, the finding population with severity and closure date, evidence that remediation was verified by rescan, and the annual penetration test report with evidence findings were remediated or accepted.</t>
  </si>
  <si>
    <t>Nothing outstanding in policy. §13 also requires scanning and patch coverage reconciled against the asset inventory — that reconciliation is what proves the scan covered everything, and it needs the CC2.1-02 inventory to exist first.</t>
  </si>
  <si>
    <t>CC4.1-04</t>
  </si>
  <si>
    <t>Alert dispositions are reviewed at least monthly for production, recording the date, reviewer, period covered and conclusion; logging and alerting coverage is reviewed at least annually and after material change.</t>
  </si>
  <si>
    <t>A recurring calendar item that produces a short dated note, not a report. The note is the evidence; the absence of one is the finding.</t>
  </si>
  <si>
    <t>Monthly alert disposition review notes and annual coverage review</t>
  </si>
  <si>
    <t>Applies. This is the cheapest CC4.1 control to operate and the one most likely to be skipped in a quiet month. Record the quiet months — a nil disposition review is still a performed control.</t>
  </si>
  <si>
    <t>POL-LOG-001 §8, §12</t>
  </si>
  <si>
    <t>POL-LOG-001 §8 requires automated alerts for repeated authentication failures, privilege escalation, disabling of security controls or logging, anomalous administrative activity and tool detections, prompt triage with escalation to incident response, and annual review of logging and alerting coverage with pipeline failures detected and remediated. §12 requires monthly review of alert dispositions recording date, reviewer, period covered and conclusion.</t>
  </si>
  <si>
    <t>Nothing outstanding in policy. Wire the alert on disabling of logging first — it is the one alert that protects every other control on this tab.</t>
  </si>
  <si>
    <t>CC4.1-05</t>
  </si>
  <si>
    <t>The change population is reviewed at least quarterly for changes lacking an approver, self-approved changes, direct production modifications and emergency change frequency, and the review is recorded.</t>
  </si>
  <si>
    <t>Query the merge history rather than reading it. Four counts, one dated note, filed with the quarterly report.</t>
  </si>
  <si>
    <t>Quarterly change population review record</t>
  </si>
  <si>
    <t>Applies. At this size self-approved changes will not be zero, and the honest number is more defensible than a review that reports none. Record the count and the compensating control.</t>
  </si>
  <si>
    <t>POL-CM-001 §8, §12</t>
  </si>
  <si>
    <t>POL-CM-001 §12 requires the Security Officer to review the change population at least quarterly for changes lacking an approver, self-approved changes, direct production modifications and emergency change frequency, and to record the review; deficiencies found go to the deficiency log and are reported to the Steering Committee. §8 requires security-relevant configuration changes logged and reviewed, with unauthorised changes treated as security events.</t>
  </si>
  <si>
    <t>Nothing outstanding in policy. The review depends on branch protection being enforced (Setup step 7) — without it the population cannot distinguish approved from unapproved.</t>
  </si>
  <si>
    <t>CC4.1-06</t>
  </si>
  <si>
    <t>At least one continuity exercise a year uses a realistic scenario, and every test records the objective, the result, the recovery objectives actually achieved and the deficiencies found.</t>
  </si>
  <si>
    <t>A tabletop is sufficient at this size. Write the record as you run it; reconstructing it afterwards is what makes it unconvincing.</t>
  </si>
  <si>
    <t>Test record with objective, result, RTO and RPO achieved, deficiencies</t>
  </si>
  <si>
    <t>Applies. POL-BCP-001 §13 names the right scenarios for this company, including unavailability of the Security Officer during an active incident — which at two people is the scenario that matters most.</t>
  </si>
  <si>
    <t>POL-BCP-001 §13, §15</t>
  </si>
  <si>
    <t>POL-BCP-001 §13 requires at least one realistic exercise a year, names candidate scenarios including loss of an AWS Region, identity provider compromise, ransomware on an engagement repository and unavailability of the Security Officer, requires objective, result, RTO and RPO achieved and deficiencies recorded, and states that a test finding nothing shall be scrutinised before it is accepted. §15 requires reporting to the Committee at least annually and treats a missed test as a deficiency escalated to the CEO.</t>
  </si>
  <si>
    <t>Nothing outstanding in policy. Note that §13 routes continuity deficiencies to the risk register while POL-ISP-001 §8 routes deficiencies to a plan of action — see CC4.2-03, which is where that divergence has to be resolved.</t>
  </si>
  <si>
    <t>CC4.1-07</t>
  </si>
  <si>
    <t>Independent evaluations are obtained where contractually required, and subservice organisation assurance reports are reviewed annually with complementary user entity controls confirmed.</t>
  </si>
  <si>
    <t>Diarise the AWS report against the annual risk assessment. Reviewing it means recording which user entity controls fall to the Company and confirming each is operating — not filing the PDF.</t>
  </si>
  <si>
    <t>Reviewed assurance report with user entity controls confirmed and gaps in the register</t>
  </si>
  <si>
    <t>Applies. The complementary user entity controls half is routinely skipped, and it is asked about directly. This is the same omission flagged at CC2.3-06.</t>
  </si>
  <si>
    <t>POL-ISP-001 §8 + POL-RSK-001 §13</t>
  </si>
  <si>
    <t>POL-ISP-001 §8 provides for independent examinations such as SOC 2 audits where contractually required. POL-RSK-001 §13 names AWS as the principal subservice organisation, requires its assurance reporting reviewed at least annually, complementary user entity controls confirmed, and gaps recorded in the risk register.</t>
  </si>
  <si>
    <t>Nothing outstanding in policy. The AWS review has no calendar entry — it now sits on the annual risk assessment row.</t>
  </si>
  <si>
    <t>Evaluates and communicates deficiencies</t>
  </si>
  <si>
    <t>2 of 6</t>
  </si>
  <si>
    <t>CC4.2-01</t>
  </si>
  <si>
    <t>Deficiencies are recorded with an owner, a severity and a remediation date, and tracked to closure.</t>
  </si>
  <si>
    <t>Failing Secureframe tests create tasks automatically; route them to the same Jira or Linear project as everything else so one queue holds every deficiency.</t>
  </si>
  <si>
    <t>Plan of action with owner, severity, date and closure</t>
  </si>
  <si>
    <t>Applies. One queue, not one per source. The moment there are three deficiency lists nobody can answer how many are open.</t>
  </si>
  <si>
    <t>POL-ISP-001 §8 requires identified deficiencies recorded in a plan of action with assigned owners and remediation dates, tracked to closure by the Security Officer, and assigned a severity.</t>
  </si>
  <si>
    <t>Nothing outstanding in policy. Stand the plan of action up before the first evaluation runs, or the first findings will land in email.</t>
  </si>
  <si>
    <t>CC4.2-02</t>
  </si>
  <si>
    <t>Deficiencies are reported in writing to the Steering Committee at least quarterly, with those open beyond their agreed date escalated in that report.</t>
  </si>
  <si>
    <t>One section of the quarterly report that already satisfies CC2.2-05. Generate the overdue list from the task project rather than reading it.</t>
  </si>
  <si>
    <t>Quarterly report with deficiency status and escalations</t>
  </si>
  <si>
    <t>Applies. Expect zero overdue items in the first quarter and record the zero. An auditor cannot distinguish an empty escalation section from an unperformed report.</t>
  </si>
  <si>
    <t>POL-ISP-001 §8 + POL-VPM-001 §13 + POL-CM-001 §12</t>
  </si>
  <si>
    <t>POL-ISP-001 §8 requires deficiencies assigned a severity and reported in writing to the Steering Committee at least quarterly, with items open beyond their remediation date escalated in that report. POL-VPM-001 §13 requires service level performance reported quarterly with repeated breaches escalated as a deficiency. POL-CM-001 §12 requires change review deficiencies reported to the Committee.</t>
  </si>
  <si>
    <t>Nothing outstanding in policy. Three policies each require a quarterly report to the same body — merge them into the single CC2.2-05 report rather than producing three.</t>
  </si>
  <si>
    <t>CC4.2-03</t>
  </si>
  <si>
    <t>Deficiencies from every evaluation source — self-assessment, access review, scanning, penetration test, change review, continuity test, incident and vendor assessment — are consolidated in a single log.</t>
  </si>
  <si>
    <t>One destination, chosen now. Every policy that generates a deficiency should reference that destination by name rather than describing its own.</t>
  </si>
  <si>
    <t>Single deficiency log covering all evaluation sources</t>
  </si>
  <si>
    <t>Applies, and this is the weakest row in CC4. The policy set currently names three different destinations for a deficiency, which means the population an auditor asks for cannot be produced from any one of them.</t>
  </si>
  <si>
    <t>POL-ISP-001 §8 (plan of action) · POL-CM-001 §12 (deficiency log) · POL-BCP-001 §13 (risk register)</t>
  </si>
  <si>
    <t>Three policies route deficiencies to three different places: POL-ISP-001 §8 to a plan of action, POL-CM-001 §12 to a deficiency log, and POL-BCP-001 §13 to the risk register with an owner and remediation date. POL-VPM-001 §13 keeps its own finding population. No policy states that these are the same artifact or reconciles them.</t>
  </si>
  <si>
    <t>Pick one destination and amend the other three policies to name it. The plan of action at POL-ISP-001 §8 is the natural choice because it is already the CC1.5-04 artifact. Until this is resolved, the deficiency population cannot be produced on request.</t>
  </si>
  <si>
    <t>CC4.2-04</t>
  </si>
  <si>
    <t>Corrective action is verified as effective before a deficiency is closed, not merely reported as done.</t>
  </si>
  <si>
    <t>Make verification a required field on closure. For vulnerabilities the rescan is automatic; for everything else it is a named test recorded by the person closing.</t>
  </si>
  <si>
    <t>Closure records showing the verification performed</t>
  </si>
  <si>
    <t>Applies. Closure without verification is the most common finding in a second-year Type II, because year one closes on assertion and year two samples it.</t>
  </si>
  <si>
    <t>POL-VPM-001 §13 + POL-RSK-001 §9</t>
  </si>
  <si>
    <t>POL-VPM-001 §13 requires evidence that remediation was verified by rescan or equivalent validation, and POL-RSK-001 §9 requires every treatment to have a defined completion test. Neither extends to deficiencies from self-assessment, access review, change review or continuity testing, and POL-ISP-001 §8 requires only that deficiencies be tracked to closure.</t>
  </si>
  <si>
    <t>Extend POL-ISP-001 §8: a deficiency is closed only when the corrective action has been verified, and the verification is recorded. The rule exists in two policies already — generalise it rather than writing a third.</t>
  </si>
  <si>
    <t>CC4.2-05</t>
  </si>
  <si>
    <t>Deficiency trends and repeat findings are evaluated, and a recurring deficiency is escalated rather than closed again.</t>
  </si>
  <si>
    <t>Two counts in the quarterly report: deficiencies opened this quarter, and how many were previously closed. The second number is the one that matters.</t>
  </si>
  <si>
    <t>Trend and repeat-finding section of the quarterly report</t>
  </si>
  <si>
    <t>Applies. A control that fails twice is a design problem, not an operating slip, and treating it as the latter is how a Type II qualification happens.</t>
  </si>
  <si>
    <t>POL-VPM-001 §13 + POL-CM-001 §12</t>
  </si>
  <si>
    <t>POL-VPM-001 §13 requires repeated service level breaches escalated as a deficiency, and POL-CM-001 §12 requires emergency change frequency reviewed quarterly. No policy requires deficiency trends or repeat findings to be evaluated across sources.</t>
  </si>
  <si>
    <t>Add to POL-ISP-001 §8: the quarterly report identifies deficiencies previously closed and reopened, and a repeat deficiency is escalated as a design concern rather than reworked.</t>
  </si>
  <si>
    <t>CC4.2-06</t>
  </si>
  <si>
    <t>Failure to perform a scheduled evaluation on time is itself recorded as a deficiency and escalated.</t>
  </si>
  <si>
    <t>The compliance calendar produces the due dates; the plan of action receives anything not done by them. No human comparison step.</t>
  </si>
  <si>
    <t>Deficiency record for any missed evaluation</t>
  </si>
  <si>
    <t>Applies. This is what stops a monitoring programme from quietly stopping. At this size a missed month is likely, and recording it is a far better position than a gap nobody explains at audit.</t>
  </si>
  <si>
    <t>POL-BCP-001 §15 + POL-ISP-001 §8</t>
  </si>
  <si>
    <t>POL-BCP-001 §15 requires failure to complete a scheduled test on time recorded as a deficiency and escalated to the CEO. No equivalent exists for the self-assessment, access reviews, scanning, alert disposition review or change review, and POL-ISP-001 §8 is silent on missed evaluations.</t>
  </si>
  <si>
    <t>Generalise the POL-BCP-001 §15 rule into POL-ISP-001 §8: failure to perform any scheduled evaluation by its due date is a deficiency, recorded and escalated in the quarterly report.</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</si>
  <si>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All thirteen rows score 1 — CC4 is the best-documented criterion in the workbook, and none of it has run yet.</t>
  </si>
  <si>
    <t>An N/A with no rationale turns the rationale cell red. Nothing in CC4 is safely N/A. The independence requirements at POL-ISP-001 §8 and POL-AC-001 §12 cannot be met literally at two people, but both policies already supply the substitute — CEO review and signature — so the correct treatment is a documented limitation, not an exclusion.</t>
  </si>
  <si>
    <t>Use the outline buttons in the left margin (1 / 2, or the +/− next to each criterion) to collapse and expand. Level 1 shows the two criterion rows only; level 2 shows every control.</t>
  </si>
  <si>
    <t>Column N names the document and section that owns each control, verified against the approved policy library in Polcies.zip. Columns O to Q assess this tab against that library rather than the implementation plans, on the same basis as CC3. The result is 9 Yes, 4 Partial, 0 No — CC4.1 is fully covered and unusually specific, with POL-AC-001 §12, POL-VPM-001 §5 and §13, POL-LOG-001 §12, POL-CM-001 §12 and POL-BCP-001 §13 each defining a distinct evaluation with its own evidence. Every Partial sits in CC4.2 and every one of them has the same root cause: the policies define excellent individual evaluations but do not converge on a single deficiency population, a single closure test, or a rule for a missed evaluation. CC4.2-03 is the row to fix first — until deficiencies land in one place, the population an auditor asks for cannot be produced.</t>
  </si>
  <si>
    <t>CC5 — Control Activities</t>
  </si>
  <si>
    <t>12 control activities across CC5.1–CC5.3.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</si>
  <si>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Selects and develops control activities</t>
  </si>
  <si>
    <t>CC5.1-01</t>
  </si>
  <si>
    <t>Controls are selected to treat identified risks, and the mapping from risk to control is recorded so that every control can be traced to the risk it exists to address.</t>
  </si>
  <si>
    <t>The mapping is a field on the risk register entry, not a separate document. Populate it as risks are recorded rather than reconstructing it before an audit.</t>
  </si>
  <si>
    <t>Risk register showing the control recorded against each risk</t>
  </si>
  <si>
    <t>Applies. This is the criterion that stops the control set becoming a checklist. At this size the mapping is short, and its value is that it shows why each control is operated at all.</t>
  </si>
  <si>
    <t>POL-RSK-001 §5, §9 + POL-ISP-001 §6</t>
  </si>
  <si>
    <t>POL-RSK-001 §5 states the Company shall not adopt a control solely because a framework lists it, requires controls selected to treat identified risks, and requires the risk-to-control mapping recorded. §9 repeats that where a control is selected to treat a risk it is recorded in the register against that risk. POL-ISP-001 §6 states control activities are selected and deployed in response to risks identified in the risk assessment.</t>
  </si>
  <si>
    <t>Nothing outstanding in policy. The mapping cannot be populated until the first risk assessment runs, so this row moves with CC3.2-02.</t>
  </si>
  <si>
    <t>CC5.1-02</t>
  </si>
  <si>
    <t>Control selection considers the level at which a risk arises and combines preventive and detective activity rather than relying on one type.</t>
  </si>
  <si>
    <t>Record the control type on the matrix alongside the owner and frequency. One field, and it makes a detection-only area visible at a glance.</t>
  </si>
  <si>
    <t>Control matrix showing control type per control</t>
  </si>
  <si>
    <t>Applies. The failure mode at this size is a programme that is almost entirely detective, because detection is cheaper to buy. Naming the type is what makes that visible before an auditor names it.</t>
  </si>
  <si>
    <t>POL-RSK-001 §9 (treatment options) + POL-ISP-001 §6</t>
  </si>
  <si>
    <t>POL-RSK-001 §9 defines the treatment options as mitigate, transfer, avoid or accept, and requires the selected control recorded. Neither §9 nor POL-ISP-001 §6 requires the mix of preventive and detective activity to be considered, or the control type to be recorded.</t>
  </si>
  <si>
    <t>Add a control-type field to the control matrix and one line to POL-ISP-001 §6: control selection considers whether the activity prevents or detects, and an area covered only by detection is recorded as such.</t>
  </si>
  <si>
    <t>CC5.1-03</t>
  </si>
  <si>
    <t>Controls are not adopted solely because a framework lists them, and a control that treats no identified risk is challenged rather than retained.</t>
  </si>
  <si>
    <t>Review at the annual assessment: any control on the matrix with no risk mapped to it is either mapped or retired.</t>
  </si>
  <si>
    <t>Annual review note on unmapped controls</t>
  </si>
  <si>
    <t>Applies, and is unusually well stated in the policy. At this headcount an unnecessary control is not neutral — it consumes the capacity the necessary ones need.</t>
  </si>
  <si>
    <t>POL-RSK-001 §5</t>
  </si>
  <si>
    <t>POL-RSK-001 §5 states directly that the Company shall not adopt a control solely because a framework lists it, that controls shall be selected to treat identified risks, and that the mapping from risk to control shall be recorded.</t>
  </si>
  <si>
    <t>Nothing outstanding in policy. Make the unmapped-control check part of the annual assessment so the rule is tested rather than merely stated.</t>
  </si>
  <si>
    <t>CC5.1-04</t>
  </si>
  <si>
    <t>Every Trust Services Criterion in the declared scope has at least one owning document and a named control owner.</t>
  </si>
  <si>
    <t>Annex A of POL-ISP-001 is the register. Regenerate it from the control matrix rather than maintaining both by hand.</t>
  </si>
  <si>
    <t>POL-ISP-001 Annex A criteria mapping</t>
  </si>
  <si>
    <t>Applies. This is the single artifact that answers “which document owns this criterion”, and it is the first thing an auditor asks for after the system description.</t>
  </si>
  <si>
    <t>POL-ISP-001 §6, §13 (Annex A)</t>
  </si>
  <si>
    <t>POL-ISP-001 §6 states that Annex A records each subordinate policy and standard with its identifier, version, approval date and owner, and that Annex A maps each Trust Services Criterion in the declared scope to the document that owns it and to the named control owner, with every criterion in scope having at least one owning document.</t>
  </si>
  <si>
    <t>Nothing outstanding in policy, but Annex A must be reconciled against this workbook: the CC1 and CC2 tabs still reference POL-COI-001 and POL-PRIV-001, and neither is in the approved library.</t>
  </si>
  <si>
    <t>General controls over technology</t>
  </si>
  <si>
    <t>4 of 4</t>
  </si>
  <si>
    <t>CC5.2-01</t>
  </si>
  <si>
    <t>Production and non-production workloads are separated at the cloud account boundary, with permission sets granting only the entitlements a role requires in each.</t>
  </si>
  <si>
    <t>AWS</t>
  </si>
  <si>
    <t>Account separation is structural — once established it holds without maintenance, which is why it is the highest-value general control at this size.</t>
  </si>
  <si>
    <t>Account structure and permission set exports</t>
  </si>
  <si>
    <t>Applies. Separating by account rather than by tag or subnet means audit scope can be established structurally, which is a large saving every year thereafter.</t>
  </si>
  <si>
    <t>POL-AC-001 §10 + POL-NET-001 §5 + POL-AM-001 §8</t>
  </si>
  <si>
    <t>POL-AC-001 §10 requires production and non-production workloads in separate cloud accounts with permission sets granting only the entitlements a role requires. POL-NET-001 §5 requires the separation at the account boundary rather than merely by subnet or tag, so that scope can be established structurally.</t>
  </si>
  <si>
    <t>Nothing outstanding in policy. Confirm the separation exists in the account structure as built — the policy is unambiguous and the finding, if any, will be an implementation one.</t>
  </si>
  <si>
    <t>CC5.2-02</t>
  </si>
  <si>
    <t>Segregation of duties is applied where practicable and, where the Company's size prevents it, compensating controls are documented rather than the requirement being dropped.</t>
  </si>
  <si>
    <t>One section of the Annual Assessment, shared with CC1.3-05. Name the conflicting duties held by one person and what compensates for each.</t>
  </si>
  <si>
    <t>Segregation of duties section of the Annual Assessment</t>
  </si>
  <si>
    <t>Applies. Three policies state the same rule, which is the right answer at this size: the honest conclusion is that segregation is limited, and the compensating controls are what make that defensible.</t>
  </si>
  <si>
    <t>POL-AC-001 §5 + POL-CM-001 §6 + POL-ISP-001 §7</t>
  </si>
  <si>
    <t>POL-AC-001 §5 requires segregation applied where practicable, with compensating controls such as independent review and enhanced logging documented where size prevents it. POL-CM-001 §6 requires code and configuration changes reviewed by a person other than the author wherever staffing permits, with a stated alternative where independent review is not possible. POL-ISP-001 §7 states the rule at programme level.</t>
  </si>
  <si>
    <t>Nothing outstanding in policy. The assessment at CC1.3-05 has not been performed — that is the gap, and it closes all three policy references at once.</t>
  </si>
  <si>
    <t>CC5.2-03</t>
  </si>
  <si>
    <t>Infrastructure and network configuration are defined as code, held in version control and applied through the pipeline, with drift detected and remediated.</t>
  </si>
  <si>
    <t>GitHub + AWS</t>
  </si>
  <si>
    <t>Console edits are the exception path, not the normal one. Reconcile emergency changes back into code within one business day as the policy requires.</t>
  </si>
  <si>
    <t>Repository history and drift detection findings</t>
  </si>
  <si>
    <t>Applies. Configuration as code is what makes the CC4.1-05 change review possible at all — a console-edited estate has no population to review.</t>
  </si>
  <si>
    <t>POL-NET-001 §12 + POL-CM-001 §5, §8</t>
  </si>
  <si>
    <t>POL-NET-001 §12 requires network configuration defined as code, held in version control and applied through the pipeline rather than by console edit; proposed changes scanned for misconfiguration before application; emergency changes reconciled back into code within one business day; and drift between deployed network and definition detected and remediated. POL-CM-001 §8 requires security-relevant configuration changes logged and reviewed, with unauthorised changes treated as security events.</t>
  </si>
  <si>
    <t>Nothing outstanding in policy. Enable drift detection at the same time as the pipeline, or the reconciliation requirement has nothing to compare against.</t>
  </si>
  <si>
    <t>CC5.2-04</t>
  </si>
  <si>
    <t>Access to deploy changes to production is restricted, and security requirements are applied through the development lifecycle rather than added at release.</t>
  </si>
  <si>
    <t>Branch protection and deployment permissions do this structurally. Setup step 7 is the prerequisite for both this row and CC4.1-05.</t>
  </si>
  <si>
    <t>Deployment permission export and branch protection settings</t>
  </si>
  <si>
    <t>Applies. At two people the deploy permission and the review requirement are the same control expressed twice — get branch protection right and both hold.</t>
  </si>
  <si>
    <t>POL-CM-001 §6 + POL-SDLC-001 §4, §5, §6</t>
  </si>
  <si>
    <t>POL-CM-001 §6 requires access to deploy changes to production restricted in accordance with the Access Control Policy, and review by a person other than the author wherever staffing permits. POL-SDLC-001 covers secure design and coding, development environments and source control, and security testing and release.</t>
  </si>
  <si>
    <t>Nothing outstanding in policy. Branch protection on private repositories requires GitHub Team — that dependency is already flagged at Setup step 7 and gates this row.</t>
  </si>
  <si>
    <t>Deploys through policies and procedures</t>
  </si>
  <si>
    <t>CC5.3-01</t>
  </si>
  <si>
    <t>Policies are approved by the Steering Committee, reviewed at least annually, and communicated to personnel on hire and on material change.</t>
  </si>
  <si>
    <t>Approval is the merged pull request; communication is the Secureframe assignment. Neither needs a separate workflow.</t>
  </si>
  <si>
    <t>Approved policy set with approval dates and acknowledgment register</t>
  </si>
  <si>
    <t>Applies, and is already largely satisfied: the whole library carries an approval date of 23 July 2026 and signatures from the CEO and the Security Officer.</t>
  </si>
  <si>
    <t>POL-ISP-001 §6 requires all security policies and standards approved by the Information Security Steering Committee, reviewed at least annually, and communicated to personnel upon hire and upon material change, with Annex A recording identifier, title, current version, approval date and owner for each.</t>
  </si>
  <si>
    <t>Nothing outstanding in policy. The next review date across the library is 23 July 2027 — put it on the compliance calendar now rather than discovering it has passed.</t>
  </si>
  <si>
    <t>CC5.3-02</t>
  </si>
  <si>
    <t>Standards and procedures that implement the policies are maintained and kept current with the Company's technology and threat environment.</t>
  </si>
  <si>
    <t>Keep the changeable detail in standards so a configuration change does not require reissuing and re-approving a policy.</t>
  </si>
  <si>
    <t>Current standards set with version history</t>
  </si>
  <si>
    <t>Applies. The library already uses this pattern well — the cloud, cryptography, endpoint and logging standards carry the settings, and the policies carry the outcomes.</t>
  </si>
  <si>
    <t>POL-ISP-001 §6 + STD-CLD-001, STD-CRY-001, STD-EPT-001, STD-LOG-001</t>
  </si>
  <si>
    <t>POL-ISP-001 §6 states that standards and procedures implementing these policies are maintained by the Security Officer and kept current with the Company's technology and threat environment. Four standards exist covering cloud platform, cryptography, endpoint and logging.</t>
  </si>
  <si>
    <t>Nothing outstanding in policy. STD-SCR-001 for screening tiers is named in the CC1 rows and does not exist — it is the one standard the pattern is missing.</t>
  </si>
  <si>
    <t>CC5.3-03</t>
  </si>
  <si>
    <t>Exceptions are requested in writing, approved before taking effect, documented, risk-assessed, time-bound and reviewed at least annually, and are recorded as accepted risks.</t>
  </si>
  <si>
    <t>Governance Log type ‘Exception’, cross-referenced to the risk register entry. One decision, two records that point at each other.</t>
  </si>
  <si>
    <t>Exception records with compensating control and expiry</t>
  </si>
  <si>
    <t>Applies. The expiry date is the control. An exception without one becomes the standing configuration, which is how a temporary decision turns into an unexplained deviation two audits later.</t>
  </si>
  <si>
    <t>POL-ISP-001 §11 + POL-RSK-001 §16</t>
  </si>
  <si>
    <t>POL-ISP-001 §11 requires exceptions requested in writing to the Security Officer and approved by the Steering Committee before taking effect, documented, risk-assessed, time-bound and reviewed at least annually. POL-RSK-001 §16 requires any exception granted under any Company policy recorded as an accepted risk in the register so that exceptions and risks are visible in one place.</t>
  </si>
  <si>
    <t>Nothing outstanding in policy. Several policies name specific exceptions they expect — shared accounts, static credentials, removable media, unrestricted egress — so seed the register with those categories rather than waiting for the first request.</t>
  </si>
  <si>
    <t>CC5.3-04</t>
  </si>
  <si>
    <t>Control activities are performed by competent personnel with defined responsibility, within the defined frequency, and deviations are corrected.</t>
  </si>
  <si>
    <t>The control matrix carries the owner and frequency; the compliance calendar carries the due date; the plan of action receives anything not done by it.</t>
  </si>
  <si>
    <t>Control matrix with owner and frequency, and deficiency records for missed performances</t>
  </si>
  <si>
    <t>Applies. This is the row that connects CC5 to CC4: a control that exists and is owned but was not performed on schedule has failed, and the failure has to be visible.</t>
  </si>
  <si>
    <t>POL-ISP-001 §7, §8</t>
  </si>
  <si>
    <t>POL-ISP-001 §7 requires security responsibilities defined for all roles, communicated in writing and acknowledged, with competencies defined per role and screening proportionate to them. §8 requires identified deficiencies recorded and tracked to closure. No policy states that failure to perform a control within its defined frequency is itself a deficiency.</t>
  </si>
  <si>
    <t>Same amendment as CC4.2-06: generalise the POL-BCP-001 §15 rule into POL-ISP-001 §8 so that failure to perform any scheduled control activity by its due date is a deficiency, recorded and escalated in the quarterly report.</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</si>
  <si>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All twelve rows score 1.</t>
  </si>
  <si>
    <t>An N/A with no rationale turns the rationale cell red. Nothing in CC5 is safely N/A. CC5.2 segregation of duties is the row most often excluded on grounds of size, and all three owning policies already give the correct treatment — apply it where practicable, document the compensating control where it is not, and never drop the requirement.</t>
  </si>
  <si>
    <t>Use the outline buttons in the left margin (1 / 2, or the +/− next to each criterion) to collapse and expand. Level 1 shows the three criterion rows only; level 2 shows every control.</t>
  </si>
  <si>
    <t>Column N names the document and section that owns each control, verified against the approved policy library in Polcies.zip. Columns O to Q assess this tab against that library rather than the implementation plans, on the same basis as CC3 and CC4. The result is 10 Yes and 2 Partial. CC5 is largely a restatement of decisions taken elsewhere — the risk-to-control mapping from POL-RSK-001 §5 and §9, the account separation from POL-AC-001 §10 and POL-NET-001 §5, the policy framework and exception process from POL-ISP-001 §6 and §11 — which is why it scores well without adding new work. The two Partials are the absence of a preventive-versus-detective consideration in control selection (CC5.1-02) and the absence of a rule that a control not performed on schedule is a deficiency (CC5.3-04, the same amendment CC4.2-06 needs). One reconciliation is outstanding: POL-ISP-001 Annex A must match this workbook, and it currently cannot, because the CC1 and CC2 tabs reference POL-COI-001 and POL-PRIV-001 and neither document exists in the library.</t>
  </si>
  <si>
    <t>CC6 — Logical and Physical Access Controls</t>
  </si>
  <si>
    <t>32 control activities across CC6.1–CC6.8, the largest criterion in the Common Criteria.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</si>
  <si>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Logical access security measures</t>
  </si>
  <si>
    <t>CC6.1-01</t>
  </si>
  <si>
    <t>A single identity provider is operated, applications authenticate through single sign-on wherever technically supported, and sessions terminate when the underlying identity is suspended.</t>
  </si>
  <si>
    <t>Federate everything that can federate. One suspension at departure is worth more than any number of individual revocations, which is the reason the policy gives.</t>
  </si>
  <si>
    <t>Identity provider configuration and federated application list</t>
  </si>
  <si>
    <t>Applies. This is the structural decision the rest of CC6 depends on. Every system left outside single sign-on becomes a manual revocation step forever.</t>
  </si>
  <si>
    <t>POL-AC-001 §6 + POL-PWD-001 §5</t>
  </si>
  <si>
    <t>POL-AC-001 §6 makes Google Workspace the identity provider, requires applications to authenticate through single sign-on wherever technically supported, requires session duration proportionate to system sensitivity, and requires sessions to terminate on suspension of the underlying identity. POL-PWD-001 §5 requires authentication centralised in the identity provider so a person holds as few separate credentials as possible.</t>
  </si>
  <si>
    <t>Nothing outstanding in policy. Maintain the inventory of accounts not behind single sign-on that POL-PWD-001 §14 lists as evidence — that list is the manual revocation burden made visible.</t>
  </si>
  <si>
    <t>CC6.1-02</t>
  </si>
  <si>
    <t>Multi-factor authentication is enforced for every person on every in-scope system, SMS and voice are not accepted as factors, privileged users hold phishing-resistant authenticators, and every person enrols at least two.</t>
  </si>
  <si>
    <t>Enforce at the identity provider rather than per application, and alert on authenticator enrolment occurring outside onboarding.</t>
  </si>
  <si>
    <t>MFA enrolment report showing factor type for every active identity</t>
  </si>
  <si>
    <t>Applies. The policy is unusually specific and unusually correct — hardware keys or platform passkeys for privileged access, number matching on push, and two authenticators each so a lost device is a recovery event rather than a reason to weaken a control.</t>
  </si>
  <si>
    <t>POL-PWD-001 §6, §7 + POL-AC-001 §6</t>
  </si>
  <si>
    <t>POL-PWD-001 §6 requires MFA for every person on every in-scope system with no standing exemptions, phishing-resistant authentication for privileged access with a second enrolled authenticator, prohibits SMS and voice as factors, requires number matching or equivalent context on push approval, requires at least two authenticators per person, and requires enrolment and removal logged with an alert outside onboarding. §7 makes passkeys the default where supported.</t>
  </si>
  <si>
    <t>Nothing outstanding in policy. Confirm SMS is disabled at the identity provider rather than merely discouraged — POL-PWD-001 §14 lists that evidence explicitly.</t>
  </si>
  <si>
    <t>CC6.1-03</t>
  </si>
  <si>
    <t>Password requirements follow current national guidance — length and breach screening rather than composition and scheduled expiry — and a Company password manager is provided and required for any credential not held by the identity provider.</t>
  </si>
  <si>
    <t>Password manager</t>
  </si>
  <si>
    <t>Configure the identity provider to the policy once. The password manager does the rest, provided credential sharing through any other channel is treated as a violation.</t>
  </si>
  <si>
    <t>Identity provider password settings and password manager deployment record</t>
  </si>
  <si>
    <t>Applies. The policy takes the modern position deliberately and says why: requirements hostile to people are worked around, and a control that is worked around is not a control.</t>
  </si>
  <si>
    <t>POL-PWD-001 §8, §9 + POL-AC-001 §6</t>
  </si>
  <si>
    <t>POL-PWD-001 §8 sets a fifteen-character minimum outside single sign-on and eight behind it, accepts at least sixty-four characters and all printable characters, forbids composition rules, requires screening against known-breached corpora, removes scheduled expiry, permits pasting, forbids password hints and knowledge-based recovery, and requires salted computationally expensive hashing. §9 requires a Company password manager for every person, credential sharing only through its sharing mechanism, scoped shared vaults reviewed at the quarterly access review, and phishing-resistant MFA on the password manager itself.</t>
  </si>
  <si>
    <t>Nothing outstanding in policy. The §9 prohibition on sending credentials by message, email, ticket or document is the clause most often broken in practice — cover it in awareness training rather than assuming it.</t>
  </si>
  <si>
    <t>CC6.1-04</t>
  </si>
  <si>
    <t>Access is denied by default and granted on least privilege and need to know, to a named individual identity, for a stated business purpose, and is time-bound where the purpose is time-bound.</t>
  </si>
  <si>
    <t>Baseline roles rather than per-person grants, and engagement end dates on contractor identities so time-bound access expires without anyone remembering.</t>
  </si>
  <si>
    <t>Permission set definitions and access request records</t>
  </si>
  <si>
    <t>Applies. Shared or generic accounts are prohibited outright, with an exception path requiring a recorded compensating control — use that path rather than tolerating an undocumented shared login.</t>
  </si>
  <si>
    <t>POL-AC-001 §5</t>
  </si>
  <si>
    <t>POL-AC-001 §5 requires access granted on least privilege and need to know, denied by default, and only for a stated business purpose; granted to a named individual identity with shared or generic accounts prohibited and any exception recorded with a compensating control; time-bound where the purpose is time-bound, including contractor engagements, project access and temporary elevation; and restricted to documented need for Confidential or Restricted information.</t>
  </si>
  <si>
    <t>Nothing outstanding in policy. Seed the exception register with any shared account that already exists — POL-AC-001 §5 requires the compensating control recorded, and an undeclared shared account is a finding rather than an exception.</t>
  </si>
  <si>
    <t>CC6.1-05</t>
  </si>
  <si>
    <t>Access to Company systems requires an enrolled device meeting the compliance baseline, regardless of network location, and a non-compliant device is blocked until remediated.</t>
  </si>
  <si>
    <t>Device management</t>
  </si>
  <si>
    <t>Device compliance as an access condition at the identity provider, so the check is enforced rather than reported.</t>
  </si>
  <si>
    <t>Device compliance policy configuration and blocked-device records</t>
  </si>
  <si>
    <t>Applies with force. There is no office network, so device state is the perimeter. The policy is explicit that a non-compliant device is blocked rather than granted an informal exception — that sentence is what makes this a control.</t>
  </si>
  <si>
    <t>POL-AC-001 §13 + POL-NET-001 §9 + POL-AM-001 §6, §7</t>
  </si>
  <si>
    <t>POL-AC-001 §13 requires an enrolled device meeting the Asset Management compliance requirements — disk encryption, automatic screen lock, supported operating system and endpoint protection — and requires a non-compliant device blocked until remediated rather than granted an informal exception. POL-NET-001 §5 and §9 state that network location confers no trust and access is conditioned on identity and device state. POL-AM-001 §7 sets the personally owned device baseline and the limits on what the Company collects from those devices.</t>
  </si>
  <si>
    <t>Nothing outstanding in policy. POL-AM-001 §7 also commits the Company to documenting what telemetry it collects from personal devices and having individuals acknowledge it before enrolment — that acknowledgment has to exist before the first enrolment, not after.</t>
  </si>
  <si>
    <t>Registration and authorization of users</t>
  </si>
  <si>
    <t>CC6.2-01</t>
  </si>
  <si>
    <t>Access is requested and approved before it is granted, and the request record identifies the requester, the access sought, the business justification, the approver and the date.</t>
  </si>
  <si>
    <t>Per request</t>
  </si>
  <si>
    <t>A ticket type with those five fields required. Anything approved in chat has no record an auditor can sample.</t>
  </si>
  <si>
    <t>Access request and approval records</t>
  </si>
  <si>
    <t>Applies. The Company currently has no external users — clients do not hold accounts on a Company system — so this row covers personnel and contractors only. Record that scoping position; if a client portal is ever introduced it changes.</t>
  </si>
  <si>
    <t>POL-AC-001 §7, §15</t>
  </si>
  <si>
    <t>POL-AC-001 §7 requires access requested and approved before it is granted, with the request record identifying requester, access sought, business justification, approver and date, and requires access granted outside the standard process to resolve an urgent issue recorded within one business day and reviewed for removal. §15 lists the request and approval records as auditor-sampled evidence.</t>
  </si>
  <si>
    <t>Nothing outstanding in policy. The urgent-access path at §7 needs a destination — route it to the same ticket type so it is visible in the same population.</t>
  </si>
  <si>
    <t>CC6.2-02</t>
  </si>
  <si>
    <t>New personnel receive a defined baseline role, access is never granted by copying an existing user, and production, customer data, identity provider and security tooling access requires separate Security Officer approval.</t>
  </si>
  <si>
    <t>Baseline roles defined once in the identity provider. Copying a user is the single fastest way to propagate entitlements nobody has reviewed, which is why the policy prohibits it by name.</t>
  </si>
  <si>
    <t>Baseline role definitions and separate approval records for elevated access</t>
  </si>
  <si>
    <t>Applies. At two people the temptation to clone the existing account is highest and the consequence largest, because the existing account is the most privileged one.</t>
  </si>
  <si>
    <t>POL-AC-001 §7</t>
  </si>
  <si>
    <t>POL-AC-001 §7 requires a defined baseline role per position, prohibits granting access by copying an existing user because copied access propagates unreviewed entitlements, requires separate Security Officer approval for production systems, customer data, the identity provider and security tooling with none of it forming part of a baseline role, and requires a role change to trigger a review of existing access with entitlements no longer required removed.</t>
  </si>
  <si>
    <t>Nothing outstanding in policy. Define the baseline roles before the next hire — the prohibition on copying only works if there is something to grant instead.</t>
  </si>
  <si>
    <t>CC6.2-03</t>
  </si>
  <si>
    <t>Access is revoked within one business day of termination and immediately on involuntary termination, with the identity provider account suspended first and the suspension timestamp retained.</t>
  </si>
  <si>
    <t>Per leaver</t>
  </si>
  <si>
    <t>Suspension first, then the maintained list of non-federating systems. The timestamp is the evidence, so capture it rather than reconstructing it.</t>
  </si>
  <si>
    <t>Revocation records with suspension timestamps</t>
  </si>
  <si>
    <t>Applies. The non-federating list is the part that fails: cloud console, code repositories, the password manager, third-party model and AI service accounts, and any client-granted access. All five are named in the policy — keep the list current.</t>
  </si>
  <si>
    <t>POL-AC-001 §8, §14</t>
  </si>
  <si>
    <t>POL-AC-001 §8 requires revocation within one business day of termination and immediately on involuntary termination or where a security concern exists, requires the identity provider account suspended first so federated access is withdrawn in a single action with the timestamp retained as evidence, and requires non-federating access revoked individually against a maintained list including cloud console, code repositories, the password manager, third-party model and AI service accounts and client access. §14 requires client access to appear on the offboarding checklist for any departing person who held it.</t>
  </si>
  <si>
    <t>Nothing outstanding in policy. The maintained list of non-federating systems does not yet exist as an artifact — build it from the same source as the CC2.1-02 asset inventory.</t>
  </si>
  <si>
    <t>CC6.2-04</t>
  </si>
  <si>
    <t>Contractor identities carry an engagement end date so access lapses automatically, and a complete joiner, mover and leaver population is producible from the human resources system for any period.</t>
  </si>
  <si>
    <t>HRIS + Google Workspace</t>
  </si>
  <si>
    <t>End date as a required attribute on contractor identity creation. Open-ended contractor accounts are prohibited by name.</t>
  </si>
  <si>
    <t>Joiner, mover and leaver population with revocation timestamps</t>
  </si>
  <si>
    <t>Applies with force, because most of the team is engaged rather than employed. The population is what revocation timeliness is tested against — without it, individual revocation records prove nothing about completeness.</t>
  </si>
  <si>
    <t>POL-AC-001 §8, §15</t>
  </si>
  <si>
    <t>POL-AC-001 §8 requires contractor accounts to carry an engagement end date in the identity provider so access lapses automatically if the engagement is not renewed, prohibits open-ended contractor accounts, and requires a complete joiner, mover and leaver population producible from the human resources system since that is the population against which revocation timeliness is tested.</t>
  </si>
  <si>
    <t>The policy depends on an HRIS that has not been selected — Setup step 1 still asks which system it will be. Until one is connected there is no authoritative population, and this row cannot move above 1 however well revocation is performed.</t>
  </si>
  <si>
    <t>Role-based access, least privilege, segregation</t>
  </si>
  <si>
    <t>CC6.3-01</t>
  </si>
  <si>
    <t>Quarterly access reviews cover the systems in the audit boundary, produce a complete population and a decision per entitlement, are reconciled to reviews due, and removals are evidenced as removed.</t>
  </si>
  <si>
    <t>Population from the identity provider and cloud accounts, not a hand-built list. Export the reconciliation with the review.</t>
  </si>
  <si>
    <t>Quarterly access review records with reconciliation</t>
  </si>
  <si>
    <t>Applies. Same control as CC4.1-02 seen from the access side rather than the monitoring side — one performance, two criteria, one evidence artifact.</t>
  </si>
  <si>
    <t>POL-AC-001 §12 requires quarterly reviews across cloud accounts, code repositories, identity provider administration, production data stores and finance systems; reviewer, entitlement, decision and date recorded and reconciled to reviews due; the reviewer not to be the person under review; removals evidenced as removed rather than merely decided; and privileged, non-human and external access reviewed at the same cadence in the same record.</t>
  </si>
  <si>
    <t>Nothing outstanding in policy. At two people some entitlements have no independent reviewer — record that limitation inside the review rather than leaving the §12 independence requirement silently unmet.</t>
  </si>
  <si>
    <t>CC6.3-02</t>
  </si>
  <si>
    <t>Privileged access is granted only where the role requires it, is separate from the day-to-day account where the platform supports it, is minimised through just-in-time elevation that expires automatically, and is reviewed quarterly.</t>
  </si>
  <si>
    <t>AWS + Google Workspace</t>
  </si>
  <si>
    <t>Just-in-time elevation with automatic expiry removes standing privilege without anyone revoking anything. Where unavailable, a separate admin identity is the fallback.</t>
  </si>
  <si>
    <t>Privileged access inventory and elevation records</t>
  </si>
  <si>
    <t>Applies. Privileged access is what an attacker wants and what an auditor samples first — the policy says so in those words.</t>
  </si>
  <si>
    <t>POL-AC-001 §9 + POL-PWD-001 §6</t>
  </si>
  <si>
    <t>POL-AC-001 §9 requires privileged access granted only where the role requires it, reviewed at least quarterly, separate from the individual's day-to-day account where supported, standing administrative access minimised with just-in-time elevation requested for a defined period and expiring automatically, and privileged actions logged in logs the privileged users cannot themselves alter.</t>
  </si>
  <si>
    <t>Nothing outstanding in policy. The requirement that privileged users cannot alter their own logs needs a configuration decision in AWS, not a policy change — confirm it when logging is enabled at Setup step 15.</t>
  </si>
  <si>
    <t>CC6.3-03</t>
  </si>
  <si>
    <t>Break-glass credentials are held in the password manager under hardware multi-factor authentication, their use raises an alert and requires a ticket within one business day, and they are tested annually and rotated after use or a departure.</t>
  </si>
  <si>
    <t>Annual + on use</t>
  </si>
  <si>
    <t>The alert is the control; the ticket is the evidence. Test annually so the credential works when it is needed rather than discovering otherwise during an incident.</t>
  </si>
  <si>
    <t>Break-glass test records, use records and rotation history</t>
  </si>
  <si>
    <t>Applies. The root user of the management account is the specific case: protected with hardware MFA, not used for routine operations, and its use alerts. At two people, break-glass known to at least two people is also the continuity control.</t>
  </si>
  <si>
    <t>POL-AC-001 §9, §10 + POL-PWD-001 §11</t>
  </si>
  <si>
    <t>POL-PWD-001 §11 requires break-glass credentials for the cloud management account and identity provider held in the password manager under hardware MFA and known to at least two people, use raising an immediate alert and requiring a ticket within one business day, annual testing to confirm they work, and rotation after each use and after the departure of anyone who held them. POL-AC-001 §10 requires the management account root user protected with hardware MFA, not used for routine operations, and its use alerted.</t>
  </si>
  <si>
    <t>Nothing outstanding in policy. “Known to at least two people” is a hard requirement at a two-person company — confirm both hold it, because otherwise the loss of one person is also the loss of the account.</t>
  </si>
  <si>
    <t>CC6.3-04</t>
  </si>
  <si>
    <t>Non-human and agentic identities are inventoried with a named human owner, purpose, reachable scope and last review date, operate under dedicated least-privilege identities with no wildcard permissions, and require a human approval gate for irreversible actions.</t>
  </si>
  <si>
    <t>Quarterly + annual</t>
  </si>
  <si>
    <t>Include them in the same quarterly access review as human identities rather than running a second process. Verify granted permissions against stated scope annually, since the two drift.</t>
  </si>
  <si>
    <t>Non-human identity inventory with owner, scope and last review date</t>
  </si>
  <si>
    <t>Applies with force for this company specifically. Service accounts and agents accumulate permissions precisely because nobody thinks of them as users, and an agent processing client output with write access is the highest-consequence identity in the estate.</t>
  </si>
  <si>
    <t>POL-AC-001 §11 + POL-PWD-001 §12</t>
  </si>
  <si>
    <t>POL-AC-001 §11 requires every non-human identity inventoried with a named human owner, purpose, systems reached and last review date; agents on dedicated identities scoped to minimum actions with no wildcard resource or action permissions and never inheriting human or administrative credentials; reachable scope stated and verified against actual permissions at least annually; a human approval gate for deletion of data, movement of funds, external communication or change to production; new tools or permissions following change management and reflected in the inventory before reaching production; inclusion in the quarterly access review; and disablement when the workflow is retired or the owner departs.</t>
  </si>
  <si>
    <t>Nothing outstanding in policy — this is among the strongest clauses in the library. POL-PWD-001 §12 adds that credentials must not appear in prompts, system instructions or agent configuration, which is worth restating in awareness training.</t>
  </si>
  <si>
    <t>CC6.3-05</t>
  </si>
  <si>
    <t>Access to client systems is granted only under the engagement agreement, limited to the scope authorised in writing, recorded in the engagement file, and relinquished at engagement close with written confirmation retained.</t>
  </si>
  <si>
    <t>Engagement file</t>
  </si>
  <si>
    <t>Make relinquishment and its written confirmation a closing step on the engagement checklist, not an afterthought.</t>
  </si>
  <si>
    <t>Engagement file records of client access granted and relinquished</t>
  </si>
  <si>
    <t>Applies with force, and this is the row that connects to CC3.3-02: standing client access is the Company's largest fraud exposure, and the relinquishment record is what bounds it in time.</t>
  </si>
  <si>
    <t>POL-AC-001 §14 + POL-NET-001 §13</t>
  </si>
  <si>
    <t>POL-AC-001 §14 requires client access granted only under the engagement agreement, limited to the authorised scope, recorded in the engagement file; client-granted credentials held in the Company password manager, not shared beyond the named engagement team and individually attributable where the platform permits; access relinquished at engagement end with written confirmation to the client retained; and client access on the offboarding checklist for any departing holder. POL-NET-001 §13 requires the same for network connections into client environments.</t>
  </si>
  <si>
    <t>Nothing outstanding in policy. Reconcile open client access against active engagements quarterly — the policy requires relinquishment at close but nothing detects an engagement that closed without it.</t>
  </si>
  <si>
    <t>Physical access</t>
  </si>
  <si>
    <t>CC6.4-01</t>
  </si>
  <si>
    <t>The Company operates no facility processing Company or client information, no facility is established without Steering Committee approval and a System Security Plan amendment, and a register of physical assets records custodian and classification.</t>
  </si>
  <si>
    <t>The register is the same asset inventory as CC2.1-02 filtered to physical assets. Do not maintain a second list.</t>
  </si>
  <si>
    <t>Physical asset register with custodian and classification</t>
  </si>
  <si>
    <t>Applies, and is satisfied by the operating model rather than by controls. The value of the clause is that it makes opening an office a governed decision rather than an operational one.</t>
  </si>
  <si>
    <t>POL-PHY-001 §5</t>
  </si>
  <si>
    <t>POL-PHY-001 §5 states the Company maintains no permanent office, data centre or server room, treats any co-working or meeting space as an uncontrolled public environment, requires prior Steering Committee approval and a System Security Plan amendment before establishing a facility processing Company or client information, and requires a register of physical assets recording asset, custodian and classification.</t>
  </si>
  <si>
    <t>Nothing outstanding in policy. Note that §5 also states the HIPAA facility access standards are satisfied through the subservice organisation controls at §6 — that reasoning belongs in the System Security Plan, not only in the policy.</t>
  </si>
  <si>
    <t>CC6.4-02</t>
  </si>
  <si>
    <t>Physical and environmental controls are carved out to AWS, whose assurance report is obtained at least annually, reviewed for exceptions and complementary user entity controls, with gaps recorded in the risk register.</t>
  </si>
  <si>
    <t>Diarise against the annual risk assessment. Reviewing means recording which user entity controls fall to the Company and confirming each operates — not filing the report.</t>
  </si>
  <si>
    <t>Reviewed assurance report with complementary user entity controls confirmed</t>
  </si>
  <si>
    <t>Applies. Same performance as CC4.1-07 and the same omission risk: the complementary user entity control half is what is asked about, and it is what gets skipped.</t>
  </si>
  <si>
    <t>POL-PHY-001 §6 + POL-RSK-001 §13</t>
  </si>
  <si>
    <t>POL-PHY-001 §6 requires the AWS SOC 2 Type II report or equivalent obtained at least annually and reviewed for exceptions and complementary user entity controls, with any identified user entity control either confirmed as operating or the gap recorded in the risk register; all data in AWS encrypted at rest so provider media sanitization is not relied upon alone; HIPAA-eligible services and a Business Associate Addendum where PHI is processed; Regions selected to keep personal data in permitted jurisdictions; and AI service providers treated as subservice organisations for this section.</t>
  </si>
  <si>
    <t>Nothing outstanding in policy. The Region-selection requirement needs a recorded decision per client agreement — capture it in the obligations register that CC3.1-03 calls for.</t>
  </si>
  <si>
    <t>CC6.4-03</t>
  </si>
  <si>
    <t>The remote work environment protects screens, printed material and conversations from observation, with automatic screen lock within fifteen minutes, a clear desk, devices never left unattended in vehicles, and no household access to screens, endpoints or records.</t>
  </si>
  <si>
    <t>Continuous + annual</t>
  </si>
  <si>
    <t>Screen lock is enforced through device management; the rest is acknowledged annually as part of the Code of Conduct acknowledgment, which is the only mechanism available for an environment the Company cannot inspect.</t>
  </si>
  <si>
    <t>Screen lock compliance report and annual environment attestation</t>
  </si>
  <si>
    <t>Applies with more force than at an office-based company, not less. The home environment is the control boundary, and the policy is right to be specific — including that smart speakers and always-listening assistants must be disabled during client calls.</t>
  </si>
  <si>
    <t>POL-PHY-001 §7, §14 + POL-DCL-001 §8</t>
  </si>
  <si>
    <t>POL-PHY-001 §7 requires a work location where screens, printed material and conversations cannot be observed or overheard, automatic screen lock at no more than fifteen minutes, a clear desk with Confidential and Restricted physical records locked when unattended, endpoints never left in a vehicle and carried as hand luggage, no work on Confidential or Restricted information in public spaces without a privacy screen, no client calls where they can be overheard including by household members with always-listening assistants disabled, and no household access to screens, endpoints or physical records. §14 requires annual confirmation as part of the Code of Conduct acknowledgment because the Company cannot inspect the environment.</t>
  </si>
  <si>
    <t>Nothing outstanding in policy. The annual attestation is the only evidence available for this control — make sure the Code of Conduct acknowledgment text actually contains the §7 confirmation rather than assuming it does.</t>
  </si>
  <si>
    <t>CC6.4-04</t>
  </si>
  <si>
    <t>At client premises personnel comply with site rules, treat client badges and keys as Restricted and return them at engagement close with the return recorded, do not permit tailgating, and use physical access only within the scope authorised in writing.</t>
  </si>
  <si>
    <t>Badge return is a closing step on the engagement checklist alongside logical access relinquishment. One checklist, both kinds of access.</t>
  </si>
  <si>
    <t>Badge issue and return records in the engagement file</t>
  </si>
  <si>
    <t>Applies. The clause prohibiting physical intrusion testing and social engineering of reception without specific written authorisation matters commercially as well as for audit — it is the control that keeps an assessment inside its mandate.</t>
  </si>
  <si>
    <t>POL-PHY-001 §9</t>
  </si>
  <si>
    <t>POL-PHY-001 §9 requires compliance with client site rules, safety, badge and escort conditions and recording restrictions; client-issued credentials, badges and keys treated as Restricted, not shared or duplicated, and returned at engagement close with the return recorded; no tailgating and no holding doors for unverified persons; physical access used only within the scope authorised in writing by the client; endpoints kept in personal custody on client premises; and observations of client physical weaknesses treated as Restricted client information.</t>
  </si>
  <si>
    <t>Nothing outstanding in policy. Add badge return to the same engagement-close checklist as CC6.3-05, so one step closes both the logical and the physical access.</t>
  </si>
  <si>
    <t>Disposal of assets and information</t>
  </si>
  <si>
    <t>3 of 3</t>
  </si>
  <si>
    <t>CC6.5-01</t>
  </si>
  <si>
    <t>Every device that has held Company or client information is sanitised before reassignment, return to a lessor, resale, donation or recycling, and a device that cannot be sanitised is physically destroyed rather than returned readable.</t>
  </si>
  <si>
    <t>On disposal</t>
  </si>
  <si>
    <t>Cryptographic erasure where the data was encrypted at rest with Company-controlled keys and key destruction is recorded — that is the practical route for an all-cloud, all-BYOD estate.</t>
  </si>
  <si>
    <t>Sanitisation and destruction records reconciled to the inventory</t>
  </si>
  <si>
    <t>Applies. The specific trap the policy names is warranty replacement: a failed drive returned to a vendor while still readable is a disclosure, and the policy prohibits it by name.</t>
  </si>
  <si>
    <t>POL-DRD-001 §10, §11 + POL-PHY-001 §12 + POL-AM-001 §11</t>
  </si>
  <si>
    <t>POL-DRD-001 §11 requires every device that has held Company or client information sanitised before reassignment, return, resale, donation or recycling; devices that cannot be sanitised physically destroyed and not returned for warranty replacement while readable; and sanitisation of devices that held Restricted information verified before the device leaves Company control. §10 applies the NIST SP 800-88 Rev. 1 categories, states that deletion, formatting or a recycle bin is not sanitisation, and permits cryptographic erasure only where the data was encrypted with an approved algorithm under Company-controlled keys and key destruction is recorded.</t>
  </si>
  <si>
    <t>Nothing outstanding in policy. For personally owned devices the disposal event is departure, not decommissioning — make sure the offboarding wipe confirmation at POL-DRD-001 §11 is captured by both parties as the policy requires.</t>
  </si>
  <si>
    <t>CC6.5-02</t>
  </si>
  <si>
    <t>Disposal of Confidential or Restricted information is authorised by the Security Officer before it is carried out, occurs within thirty days of the retention period ending, is confirmed clear of legal hold, and Restricted disposal is verified by a second person or reviewed and signed by the CEO.</t>
  </si>
  <si>
    <t>Automated deletion configured wherever the platform supports it, with the configuration reviewed annually so disposal does not depend on individual action.</t>
  </si>
  <si>
    <t>Disposal authorisations with legal hold confirmations</t>
  </si>
  <si>
    <t>Applies. Note the size accommodation is already written in: where a second person is unavailable, the CEO reviews and signs — the same substitution pattern used at CC1.2-04 and CC4.1-01.</t>
  </si>
  <si>
    <t>POL-DRD-001 §9</t>
  </si>
  <si>
    <t>POL-DRD-001 §9 requires disposal of Confidential or Restricted information authorised by the Security Officer before it is carried out with the authorisation recorded, disposal within thirty days of the end of the retention period or sooner where contract or law requires, automated deletion configured wherever supported with the configuration reviewed at least annually, disposal of Restricted information verified by a second person or reviewed and signed by the CEO where size prevents it, and confirmation from the data owner that no legal hold applies before disposal.</t>
  </si>
  <si>
    <t>Nothing outstanding in policy. The thirty-day clock only starts if retention periods are actually set per data type — that is the dependency, and it sits in the POL-DRD-001 §6 retention schedule.</t>
  </si>
  <si>
    <t>CC6.5-03</t>
  </si>
  <si>
    <t>A disposal register records each disposal action with its classification, retention basis and evidence, holds vendor certificates of destruction and provider deletion confirmations, is retained for six years, and is reconciled against the asset inventory.</t>
  </si>
  <si>
    <t>One register, reconciled to the inventory so that an asset marked disposed is confirmed as no longer present. Reconciliation is the control; the register alone is a list.</t>
  </si>
  <si>
    <t>Disposal register with certificates and deletion confirmations</t>
  </si>
  <si>
    <t>Applies. The register is itself exempt from the disposal it records and is retained six years — a detail that is easy to miss and awkward to fix retrospectively.</t>
  </si>
  <si>
    <t>POL-DRD-001 §15 + POL-AM-001 §11, §13</t>
  </si>
  <si>
    <t>POL-DRD-001 §15 requires a disposal register recording the information or media disposed of, its classification, the retention basis and the evidence; requires vendor certificates of destruction and provider deletion confirmations retained in it; requires the register itself retained for six years and not subject to the disposal it records; and requires disposal evidence produced to auditors and, where contractually required, to clients. POL-AM-001 §11 requires disposal records reconciled against the inventory so an asset marked disposed is confirmed absent, and requires backups and snapshots holding information subject to a deletion commitment identified with the applicable retention stated honestly to clients.</t>
  </si>
  <si>
    <t>Nothing outstanding in policy. The clause requiring backup retention stated honestly to clients is the one to watch — it is a customer commitment and therefore belongs in the CC2.3-01 commitments register.</t>
  </si>
  <si>
    <t>Protection against external threats</t>
  </si>
  <si>
    <t>CC6.6-01</t>
  </si>
  <si>
    <t>Network controls deny by default, workloads run in private subnets, administrative ports are not reachable from the internet, and public exposure of a data store raises an alert.</t>
  </si>
  <si>
    <t>Account-level public access blocks and continuous configuration evaluation against the baseline, with drift raised as a finding rather than reported in a monthly summary.</t>
  </si>
  <si>
    <t>Security group and routing exports plus continuous configuration evaluation results</t>
  </si>
  <si>
    <t>Applies. The policy sets a specific bar worth keeping: any rule permitting 0.0.0.0/0 to an administrative port is a Critical finding, which removes the argument about severity before it starts.</t>
  </si>
  <si>
    <t>POL-NET-001 §5, §6</t>
  </si>
  <si>
    <t>POL-NET-001 §5 requires deny by default, permits only traffic required for a stated purpose, states network location confers no trust, and requires systems processing Confidential or Restricted information in private segments without direct inbound internet access. §6 requires private subnets by default with public placement justified in the infrastructure definition, security groups referencing other security groups rather than broad ranges, administrative ports unreachable from the internet with any 0.0.0.0/0 rule to one treated as a Critical finding, private connectivity endpoints for cloud services, account-level public access blocks with alerting on public exposure of a data store, and continuous evaluation against the baseline with drift raised as a finding with an owner and date.</t>
  </si>
  <si>
    <t>Nothing outstanding in policy. Enable the continuous configuration evaluation at the same time as the accounts — retrofitting a baseline to a running estate is where the findings accumulate.</t>
  </si>
  <si>
    <t>CC6.6-02</t>
  </si>
  <si>
    <t>Internet-facing application endpoints sit behind a web application firewall with a maintained managed rule set deployed in monitoring mode before enforcement, with platform denial-of-service protection enabled.</t>
  </si>
  <si>
    <t>Monitoring mode first is the policy's own sequencing and it is correct — enforcement from day one on an unfamiliar rule set breaks the service and the control gets disabled.</t>
  </si>
  <si>
    <t>Web application firewall configuration and rule set version</t>
  </si>
  <si>
    <t>Applies to whatever is actually internet-facing. If nothing is exposed today, record that as the current position rather than marking the row not applicable — exposure arrives with the first public endpoint.</t>
  </si>
  <si>
    <t>POL-NET-001 §7</t>
  </si>
  <si>
    <t>POL-NET-001 §7 requires internet-facing application endpoints behind a web application firewall with a maintained managed rule set deployed in monitoring mode before enforcement, platform denial-of-service protection enabled for public endpoints, transport encryption terminated at the boundary with no unencrypted protocols exposed, and administrative interfaces of exposed services restricted to authenticated device-conditioned access and not sharing the public entry point.</t>
  </si>
  <si>
    <t>Nothing outstanding in policy. Confirm the current inventory of internet-facing endpoints — the control's scope is defined by that list and the list does not yet exist.</t>
  </si>
  <si>
    <t>Annual + on change</t>
  </si>
  <si>
    <t>Generate from the infrastructure definitions rather than drawing it, so it cannot drift from what is deployed.</t>
  </si>
  <si>
    <t>Current network diagram with version history</t>
  </si>
  <si>
    <t>Applies. The diagram is what an auditor uses to orient before sampling anything, and it is the artifact most often produced retrospectively and inaccurately.</t>
  </si>
  <si>
    <t>POL-NET-001 §14 (listed as evidence only)</t>
  </si>
  <si>
    <t>POL-NET-001 §14 lists a current network diagram showing accounts, environments, public entry points and trust boundaries among the records a service auditor will sample. No clause in any policy requires the diagram to be produced, assigns it an owner, or requires it to be kept current — it appears only in the evidence list.</t>
  </si>
  <si>
    <t>Add a clause to POL-NET-001 §5 requiring the diagram maintained and reviewed annually and on material architecture change, with the Security Officer as owner. An evidence list that names an artifact no clause creates is the commonest way an evidence request goes unanswered.</t>
  </si>
  <si>
    <t>CC6.6-04</t>
  </si>
  <si>
    <t>Administrative access to infrastructure is obtained through the identity provider and platform session brokering rather than by opening inbound network paths, and internet-exposed services are enumerated and reviewed at least quarterly against the asset inventory.</t>
  </si>
  <si>
    <t>Session brokering removes the bastion entirely. Where one is unavoidable it must accept no direct inbound connections from the internet.</t>
  </si>
  <si>
    <t>Quarterly enumeration of internet-exposed services reconciled to the inventory</t>
  </si>
  <si>
    <t>Applies. The policy gives the reason for the quarterly enumeration plainly: exposure most often arises from a service nobody intended to expose, which no user-by-user or rule-by-rule review would surface.</t>
  </si>
  <si>
    <t>POL-NET-001 §7, §8, §14</t>
  </si>
  <si>
    <t>POL-NET-001 §8 requires administrative access obtained through the identity provider and platform session brokering rather than inbound network paths, any unavoidable bastion reachable only through authenticated session brokering with no direct inbound connections, a VPN to a client environment used for that purpose only with MFA and not treated as conferring trust, and remote administrative sessions logged with identity, target and duration. §7 requires the set of internet-exposed services enumerated and reviewed at least quarterly against the asset inventory.</t>
  </si>
  <si>
    <t>Nothing outstanding in policy. The quarterly enumeration depends on the CC2.1-02 asset inventory existing to reconcile against — that dependency should be stated on the compliance calendar.</t>
  </si>
  <si>
    <t>Transmission, movement and removal of information</t>
  </si>
  <si>
    <t>CC6.7-01</t>
  </si>
  <si>
    <t>Information in transit is encrypted with TLS 1.2 as a minimum and 1.3 preferred, restricted to forward-secret authenticated cipher suites, with HTTP Strict Transport Security on public endpoints and no unencrypted alternative offered.</t>
  </si>
  <si>
    <t>Evaluate transport configuration continuously against the baseline rather than asserting it — the policy requires exactly that, and deviation becomes a finding.</t>
  </si>
  <si>
    <t>Transport configuration evidence per public endpoint</t>
  </si>
  <si>
    <t>Applies. Traffic between internal components is in scope too, because the policy does not treat network position as conferring trust — which is consistent with POL-NET-001 §5 and unusual to see stated properly.</t>
  </si>
  <si>
    <t>POL-ENC-001 §6 + POL-DCL-001 §11</t>
  </si>
  <si>
    <t>POL-ENC-001 §6 sets TLS 1.2 as the minimum with 1.3 preferred and lower versions disabled, restricts cipher suites to those providing forward secrecy and authenticated encryption, requires HSTS and redirection with no unencrypted alternative on public endpoints, requires internal component traffic encrypted including within a private segment, requires encrypted channels to third-party model and inference services confirmed during vendor assessment, and requires transport configuration evaluated continuously rather than asserted.</t>
  </si>
  <si>
    <t>Nothing outstanding in policy. The requirement to confirm a model provider's transport configuration during vendor assessment is easy to overlook — add it to the vendor intake questions.</t>
  </si>
  <si>
    <t>CC6.7-02</t>
  </si>
  <si>
    <t>Confidential and Restricted information is encrypted at rest with AES-256 or equivalent, cloud storage, databases, backups and snapshots have encryption enabled by default at account level, customer-managed keys protect the sensitive stores, and keys are generated in and never leave a managed key service.</t>
  </si>
  <si>
    <t>Account-level defaults plus continuous evaluation, with unencrypted resources raised as findings. Automatic key rotation where the service supports it.</t>
  </si>
  <si>
    <t>Encryption-at-rest configuration evidence and key policy exports</t>
  </si>
  <si>
    <t>Applies. The clause that matters most here is the separation of key use from key administration — no single identity holding both unrestricted key administration and access to the data the key protects. At two people that is a real constraint, and it needs a recorded position.</t>
  </si>
  <si>
    <t>POL-ENC-001 §7, §8 + POL-DCL-001 §11</t>
  </si>
  <si>
    <t>POL-ENC-001 §7 requires Confidential and Restricted information encrypted at rest with AES-256 or equivalent, encryption enabled by default at account level across object and block storage, managed databases, backups, snapshots and message queues, customer-managed keys for stores holding Confidential or Restricted information, full-disk encryption enforced on endpoints through device management, backups and exports encrypted to the same strength, and vector stores, embedding indexes and retained prompt or completion data encrypted on the same terms as their source. §8 requires keys generated within and never leaving the managed key service, use and administration granted separately, automatic rotation where supported, and key deletion or disablement alerting.</t>
  </si>
  <si>
    <t>Nothing outstanding in policy. Record how the §8 separation of key use from key administration is met at current headcount — it is the one clause in this criterion that size makes genuinely hard.</t>
  </si>
  <si>
    <t>CC6.7-03</t>
  </si>
  <si>
    <t>Secrets are held in a managed secrets service or the password manager and retrieved at runtime, never appear in source, configuration, images, build logs, client deliverables or model context, and automated secret scanning runs on every repository with push protection.</t>
  </si>
  <si>
    <t>Push protection prevents rather than detects. Turn it on before the first repository has history worth scanning.</t>
  </si>
  <si>
    <t>Secret scanning results and records of exposure, revocation and rotation</t>
  </si>
  <si>
    <t>Applies with force. The policy names this as the most common cause of a serious incident at companies of this size, and the prohibition on secrets in prompts, system instructions and agent configuration is the version specific to this company.</t>
  </si>
  <si>
    <t>POL-ENC-001 §9 + POL-PWD-001 §12</t>
  </si>
  <si>
    <t>POL-ENC-001 §9 requires secrets held in the managed secrets service or password manager and retrieved at runtime; prohibits them in source code, configuration, container images, infrastructure definitions, build logs and client-delivered artefacts; requires automated secret scanning on every repository and in the pipeline with push protection where supported; treats an exposed secret as compromised requiring immediate revocation and rotation with the event handled under incident response; requires long-lived static credentials replaced with short-lived workload identity federation; and prohibits secrets in prompts, system instructions and agent configuration because model inputs and outputs may be logged by a provider.</t>
  </si>
  <si>
    <t>Nothing outstanding in policy. Client-delivered artefacts are named explicitly — for an assessment firm that is the highest-risk destination, so include deliverable review in the scanning scope.</t>
  </si>
  <si>
    <t>CC6.7-04</t>
  </si>
  <si>
    <t>Restricted information is not transmitted over unencrypted channels or held in personal accounts, cloud storage or AI tools, removable media is not used for it, and outbound traffic from production and from agentic systems is restricted to enumerated destinations.</t>
  </si>
  <si>
    <t>Egress allow-listing for agents rather than open outbound, and enumerated paths to model services so volume and destination are observable.</t>
  </si>
  <si>
    <t>Egress configuration, allow-lists and secure transfer records</t>
  </si>
  <si>
    <t>Applies. The agentic case is the one that distinguishes this company: an agent with unrestricted egress and access to client data is an exfiltration path that no conventional egress control anticipates.</t>
  </si>
  <si>
    <t>POL-DCL-001 §8, §11, §12 + POL-NET-001 §10 + POL-AC-001 §13</t>
  </si>
  <si>
    <t>POL-DCL-001 §11 prohibits Restricted information over unencrypted channels including SMS, unencrypted email and consumer messaging, and requires an approved secure transfer mechanism with recipient identity verified through a separate channel. §8 prohibits Confidential and Restricted information in personal accounts, personal cloud storage, personal email or personal AI tools under any circumstances. POL-NET-001 §10 restricts production egress to required destinations, requires traffic to third-party model services to leave from enumerated paths, requires agentic external destinations allow-listed rather than open, and requires rendered model output not to initiate outbound requests to arbitrary destinations.</t>
  </si>
  <si>
    <t>Nothing outstanding in policy. The prohibition on active content in rendered model output initiating outbound requests is a build requirement, not a configuration one — carry it into POL-SDLC-001 design review.</t>
  </si>
  <si>
    <t>Prevention and detection of unauthorized software</t>
  </si>
  <si>
    <t>CC6.8-01</t>
  </si>
  <si>
    <t>Endpoint detection and response software is deployed to every enrolled device with tamper protection enabled, and coverage is reconciled against device management, the identity provider and the personnel list at least quarterly.</t>
  </si>
  <si>
    <t>The three-way reconciliation is the control. A coverage report alone cannot reveal the device that was never enrolled.</t>
  </si>
  <si>
    <t>Endpoint protection coverage reports with discrepancies investigated and closed</t>
  </si>
  <si>
    <t>Applies. Tamper protection matters specifically because the devices are personally owned — the person with local administrative rights on the device is the person the control also applies to.</t>
  </si>
  <si>
    <t>POL-AM-001 §6, §13</t>
  </si>
  <si>
    <t>POL-AM-001 §6 requires endpoints enrolled in device management and reporting compliance state, full-disk encryption and automatic screen lock enforced, endpoint detection and response deployed to every enrolled device with tamper protection so it cannot be disabled locally, coverage reconciled three ways against device management, the identity provider and the personnel list at least quarterly, and operating system and browser security updates enforced through device management within the Vulnerability and Patch Management timeframes.</t>
  </si>
  <si>
    <t>Nothing outstanding in policy. The three-way reconciliation needs the personnel list to be authoritative, which returns to the unselected HRIS at Setup step 1.</t>
  </si>
  <si>
    <t>CC6.8-02</t>
  </si>
  <si>
    <t>Software installation is restricted or subject to approval, administrative rights on endpoints are granted only where a role requires them, and only licensed, supported software is used with end-of-support software upgraded, replaced or removed.</t>
  </si>
  <si>
    <t>Enforce through device management rather than by instruction. On personally owned devices the enforceable surface is narrower — record what is enforced and what is attested.</t>
  </si>
  <si>
    <t>Device management configuration and software inventory</t>
  </si>
  <si>
    <t>Applies, with a real constraint: the Company does not own most of the endpoints, so local administrative rights cannot always be withheld. Record that limitation and rely on detection and the CC6.8-01 tamper protection where prevention is not available.</t>
  </si>
  <si>
    <t>POL-AM-001 §6, §9</t>
  </si>
  <si>
    <t>POL-AM-001 §6 requires software installation restricted or subject to approval and administrative rights on endpoints granted only where a role requires them. §9 requires only licensed and supported software used for Company work, software at end of support upgraded, replaced or removed, and prohibits adopting a service for Company or client information without assessment and addition to the inventory.</t>
  </si>
  <si>
    <t>Nothing outstanding in policy. State explicitly, in the Annual Assessment, how the administrative-rights requirement is met on personally owned devices — that is the gap an auditor will probe, and a recorded limitation answers it.</t>
  </si>
  <si>
    <t>CC6.8-03</t>
  </si>
  <si>
    <t>Third-party application access to the identity provider and productivity suite is restricted by allow-list, and connected applications are reviewed at least quarterly with anything not on the inventory removed or brought through vendor management.</t>
  </si>
  <si>
    <t>Allow-list first, so connecting a new application requires approval rather than generating a finding later.</t>
  </si>
  <si>
    <t>Quarterly connected-application review records</t>
  </si>
  <si>
    <t>Applies with force at this size. The policy's own reasoning is right: most unmanaged risk arrives through someone connecting a useful tool, not through a procurement decision, and detection beats prohibition.</t>
  </si>
  <si>
    <t>POL-AM-001 §9 + POL-VM-001 §11</t>
  </si>
  <si>
    <t>POL-AM-001 §9 requires third-party application access to the identity provider and productivity suite restricted by allow-list so that connecting a new application requires approval, connected applications reviewed at least quarterly with anything not on the inventory removed or brought through the Vendor Management Policy, and software and subscription expenditure reconciled periodically against the inventory since an unmanaged service usually appears on a card statement before it appears anywhere else. POL-VM-001 §11 addresses preventing shadow vendors.</t>
  </si>
  <si>
    <t>Nothing outstanding in policy. The expenditure reconciliation is the most effective detection available at this size and needs a named owner — it is finance work performed for a security purpose, so say who does it.</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</si>
  <si>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Thirty-one rows score 1 and one scores 0.</t>
  </si>
  <si>
    <t>An N/A with no rationale turns the rationale cell red. CC6.4 physical access is the criterion most often marked N/A by a company with no office, and that is wrong — POL-PHY-001 answers it properly by carving physical controls out to AWS at §6 and governing the home environment at §7. A carve-out is a documented treatment, not an exclusion. CC6.6-02 similarly applies even if nothing is internet-facing today; record the current position instead.</t>
  </si>
  <si>
    <t>Use the outline buttons in the left margin (1 / 2, or the +/− next to each criterion) to collapse and expand. Level 1 shows the eight criterion rows only; level 2 shows every control.</t>
  </si>
  <si>
    <t>Column N names the document and section that owns each control, verified against the approved policy library in Polcies.zip. Columns O to Q assess this tab against that library rather than the implementation plans, on the same basis as CC3 to CC5. The result is 31 Yes and 1 No — the strongest coverage of any criterion in the workbook, and it is not accidental: POL-AC-001, POL-PWD-001, POL-ENC-001, POL-NET-001, POL-PHY-001, POL-AM-001, POL-DCL-001 and POL-DRD-001 between them address CC6 clause by clause, and several go further than the criterion requires. POL-AC-001 §11 on non-human and agentic identities, POL-PWD-001 §12 on credentials in model context, and POL-NET-001 §10 on agent egress are all ahead of common practice. The single No is CC6.6-03: POL-NET-001 §14 lists a current network diagram among the records an auditor will sample, but no clause anywhere requires it to be produced, owned or kept current. Two rows also carry dependencies outside policy — CC6.2-04 and CC6.8-01 both need an authoritative personnel population, and no HRIS has been selected.</t>
  </si>
  <si>
    <t>CC7 — System Operations</t>
  </si>
  <si>
    <t>21 control activities across CC7.1–CC7.5.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</si>
  <si>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Detection of configuration changes and vulnerabilities</t>
  </si>
  <si>
    <t>CC7.1-01</t>
  </si>
  <si>
    <t>Infrastructure and network configuration are evaluated continuously against a defined baseline, and drift is raised as a finding with an owner and a remediation date.</t>
  </si>
  <si>
    <t>Continuous evaluation against the baseline, findings routed to the same plan of action as every other deficiency. Detection without a destination is not a control.</t>
  </si>
  <si>
    <t>Continuous configuration evaluation results and drift findings</t>
  </si>
  <si>
    <t>Applies. The baseline itself lives in STD-CLD-001, which is the right place for it — the policy states the outcome and the standard carries the settings that change.</t>
  </si>
  <si>
    <t>POL-NET-001 §6, §12 + STD-CLD-001</t>
  </si>
  <si>
    <t>POL-NET-001 §6 requires network configuration evaluated continuously against the defined baseline with drift raised as a finding with an owner and a remediation date. §12 requires configuration defined as code, changes scanned for misconfiguration before application, and drift between the deployed network and its definition detected and remediated.</t>
  </si>
  <si>
    <t>Nothing outstanding in policy. Confirm STD-CLD-001 actually contains the baseline the policy refers to — a continuously evaluated baseline that does not exist evaluates nothing.</t>
  </si>
  <si>
    <t>CC7.1-02</t>
  </si>
  <si>
    <t>Automated vulnerability scanning runs at least monthly on production infrastructure and continuously on code dependencies, with cloud misconfiguration treated as a vulnerability.</t>
  </si>
  <si>
    <t>Monthly + continuous</t>
  </si>
  <si>
    <t>Scanning in the pipeline and on a schedule, with findings raised into one queue. Coverage reconciled against the asset inventory so the scan can be shown to have reached everything.</t>
  </si>
  <si>
    <t>Scan records per period and coverage reconciliation</t>
  </si>
  <si>
    <t>Applies. Same performance as CC4.1-03, seen from the detection side rather than the monitoring side — one activity, two criteria, one evidence set.</t>
  </si>
  <si>
    <t>POL-VPM-001 §5 + POL-AM-001 §6</t>
  </si>
  <si>
    <t>POL-VPM-001 §5 requires automated scanning at least monthly on production infrastructure and continuously on code dependencies through the pipeline, cloud configurations monitored against secure baselines with misconfigurations treated as vulnerabilities, monitoring of vendor advisories and threat intelligence including actively exploited vulnerabilities, and acceptance of external reports through the published security contact under coordinated disclosure.</t>
  </si>
  <si>
    <t>Nothing outstanding in policy. The coordinated disclosure half depends on CC2.3-02, which is not yet published — a researcher currently has nowhere to send a report.</t>
  </si>
  <si>
    <t>CC7.1-03</t>
  </si>
  <si>
    <t>Criticality is determined from technical severity adjusted for exploitability in the Company's actual environment and the harm that results, with chaining and lateral movement assessed and the rationale recorded.</t>
  </si>
  <si>
    <t>Per finding</t>
  </si>
  <si>
    <t>Record the base score, the exploitability conclusion, any chain identified and the resulting timeline as fields, so the rationale is captured at triage rather than reconstructed.</t>
  </si>
  <si>
    <t>Finding population with criticality rationale per entry</t>
  </si>
  <si>
    <t>Applies. The policy is deliberate that a base score is the start of the assessment rather than its conclusion, and that a reachable medium outranks an unreachable critical. That position needs the rationale recorded or it looks like inconsistency.</t>
  </si>
  <si>
    <t>POL-VPM-001 §6, §8 + POL-RSK-001 §8</t>
  </si>
  <si>
    <t>POL-VPM-001 §8 requires each finding assessed on technical severity, exploitability in the Company environment and resulting harm; requires vulnerability chaining assessed so that combined lower-severity weaknesses take the criticality of the outcome; requires lateral movement considered explicitly; requires harm to data subjects to govern where PHI or personal data is involved; requires criticality recorded with its rationale naming the base score, exploitability conclusion, any chain and the resulting timeline; and requires re-triage on publication of exploit code or addition to the KEV catalog. §6 sets remediation timelines of seven days for Critical, forty-eight hours where actively exploited and internet-facing, thirty days for High and ninety for Medium, with verification by rescan.</t>
  </si>
  <si>
    <t>Nothing outstanding in policy. POL-RSK-001 §8 sets a reachability matrix that produces a minimum likelihood score — make sure triage uses one method, not two, or the same finding will carry two different priorities.</t>
  </si>
  <si>
    <t>CC7.1-04</t>
  </si>
  <si>
    <t>Agentic and model-specific weaknesses are assessed through evaluation and adversarial testing before release and on significant change, and over-broad agent permissions are treated as vulnerabilities with a remediation timeline.</t>
  </si>
  <si>
    <t>Per release + on change</t>
  </si>
  <si>
    <t>Evaluation before release, tracked in the same finding register as scanner output. A separate AI findings list would be the second population problem all over again.</t>
  </si>
  <si>
    <t>Evaluation records and agentic findings in the register</t>
  </si>
  <si>
    <t>Applies with force. A scanner will not report prompt injection, insecure handling of model output, excessive agent permissions or exfiltration through rendered output — the policy says so directly and requires them assessed another way.</t>
  </si>
  <si>
    <t>POL-VPM-001 §11</t>
  </si>
  <si>
    <t>POL-VPM-001 §11 requires prompt injection, insecure handling of model output, excessive agent permissions and exfiltration through rendered output assessed for any agentic or model-integrated system; evaluation before release and on significant change with adversarial testing proportionate to autonomy and blast radius; over-broad agent permissions treated as a vulnerability with a remediation timeline rather than a configuration preference; guardrail and output-filter failures raised as findings and tracked to closure rather than tuned away silently; and provider-disclosed model vulnerabilities triaged under this policy and, where client data is affected, under incident response.</t>
  </si>
  <si>
    <t>Nothing outstanding in policy — the clause about guardrail failures not being tuned away silently is the one to hold people to, because silent tuning is the natural behaviour.</t>
  </si>
  <si>
    <t>Monitoring for anomalies</t>
  </si>
  <si>
    <t>CC7.2-01</t>
  </si>
  <si>
    <t>Security-relevant events are logged with sufficient detail to establish what occurred, when, where, the source and the identity involved, with synchronised clocks, and audit logging cannot be disabled or reduced outside change management.</t>
  </si>
  <si>
    <t>Enable at the account and identity provider level and alert on any attempt to disable. That alert protects every other detective control in the workbook.</t>
  </si>
  <si>
    <t>Logging configuration evidence showing sources, regions and retention</t>
  </si>
  <si>
    <t>Applies. Clock synchronisation is easy to overlook and impossible to fix retrospectively — a timeline assembled from unsynchronised sources cannot establish an exposure window.</t>
  </si>
  <si>
    <t>POL-LOG-001 §6 + STD-LOG-001</t>
  </si>
  <si>
    <t>POL-LOG-001 §6 requires logging of authentication successes and failures, privileged actions and administrative changes, access to Restricted data and security control changes; entries capturing what occurred, when, where, the source and the associated user or service identity with clocks synchronised to a reliable source; and audit logging enabled on all cloud platforms and production accounts, which may not be disabled nor its scope reduced outside the change management process.</t>
  </si>
  <si>
    <t>Nothing outstanding in policy. Wire the alert on disabling or reducing logging before anything else at Setup step 15 — it is the control that makes the rest provable.</t>
  </si>
  <si>
    <t>CC7.2-02</t>
  </si>
  <si>
    <t>Logs are protected against unauthorised access, modification and deletion, retained for at least thirteen months with the most recent ninety days immediately queryable, and sensitive values are never written to logs.</t>
  </si>
  <si>
    <t>Retention set at creation. Thirteen months is chosen so retention outlasts a twelve-month observation window — set it once and the audit period is always covered.</t>
  </si>
  <si>
    <t>Retention configuration and log access restrictions</t>
  </si>
  <si>
    <t>Applies. The thirteen-month figure is not arbitrary and is worth preserving if anyone proposes trimming it for cost.</t>
  </si>
  <si>
    <t>POL-LOG-001 §7</t>
  </si>
  <si>
    <t>POL-LOG-001 §7 requires logs protected against unauthorised access, modification and deletion with access restricted on least privilege and itself logged; security logs retained at least thirteen months with at least the most recent ninety days immediately queryable so retention outlasts a twelve-month audit observation window; and logs containing Confidential or Restricted data handled per the Data Classification Policy with credentials never written to logs.</t>
  </si>
  <si>
    <t>Nothing outstanding in policy. POL-AC-001 §9 adds that privileged users must not be able to alter their own logs — that is a configuration decision to make when logging is enabled, not later.</t>
  </si>
  <si>
    <t>CC7.2-03</t>
  </si>
  <si>
    <t>Automated alerts are configured for high-risk events, triaged promptly with suspected incidents escalated, and alerting coverage is reviewed at least annually and after material change with pipeline failures detected and remediated.</t>
  </si>
  <si>
    <t>Route detections to one monitored channel that pages for high severity. A detection nobody sees is indistinguishable from no detection.</t>
  </si>
  <si>
    <t>Alert configuration, alert population with dispositions, pipeline failure records</t>
  </si>
  <si>
    <t>Applies. Logging pipeline failure is the silent failure mode here: the alerts stop, nothing appears wrong, and the gap is discovered at audit. The policy requires it detected, which is the right requirement.</t>
  </si>
  <si>
    <t>POL-LOG-001 §8, §13</t>
  </si>
  <si>
    <t>POL-LOG-001 §8 requires automated alerts for repeated authentication failures, privilege escalation, disabling of security controls or logging, anomalous administrative activity and security tool detections; prompt triage with suspected incidents escalated under incident response; and logging and alerting coverage reviewed at least annually and after material system changes with pipeline failures detected and remediated. §13 requires the logging coverage record reconciled to the asset inventory.</t>
  </si>
  <si>
    <t>Nothing outstanding in policy. The coverage record reconciled to the asset inventory depends on CC2.1-02 — without the inventory there is nothing to reconcile against.</t>
  </si>
  <si>
    <t>CC7.2-04</t>
  </si>
  <si>
    <t>Agent and model activity is logged with enough context to reconstruct behaviour — triggering input, tools invoked, parameters, actions taken and approvals at human gates — with alerting on behaviour outside expected bounds.</t>
  </si>
  <si>
    <t>Dedicated identities per agent so activity is distinguishable from human activity in logs. Alert on invocation of tools outside the allow-list and on attempts to disable agent logging.</t>
  </si>
  <si>
    <t>Agent activity logs and human-in-the-loop approval records</t>
  </si>
  <si>
    <t>Applies with force and is the strongest monitoring clause in the library. Without the triggering input recorded, a prompt injection incident cannot be reconstructed at all — the action is visible but its cause is not.</t>
  </si>
  <si>
    <t>POL-LOG-001 §10, §11</t>
  </si>
  <si>
    <t>POL-LOG-001 §10 requires each agent, model integration and automated workflow to have a named human owner and a dedicated identity distinguishable in logs; activity logged with sufficient context to reconstruct behaviour including triggering input, tools invoked, parameters and actions taken; approvals and denials at human-in-the-loop gates logged with approver, action and time; retained prompts and outputs treated as potentially Confidential or Restricted; alerting on tool invocation outside the allow-list, unexpected volume or frequency and repeated failures; and disabling or reducing agent logging following change management and itself alerting. §11 requires a model inventory with deployment mode and provenance, Company-side logging of each invocation rather than reliance on provider logging, and pinned model versions.</t>
  </si>
  <si>
    <t>Nothing outstanding in policy. The clause forbidding reliance on provider-side logging as the Company's own record is the one most likely to be quietly breached — verify Company-side logging exists for every model integration.</t>
  </si>
  <si>
    <t>Evaluation of security events</t>
  </si>
  <si>
    <t>CC7.3-01</t>
  </si>
  <si>
    <t>Each reported event is evaluated by the Security Officer, assigned a severity, declared an incident where warranted, and the decision and its reasoning are recorded.</t>
  </si>
  <si>
    <t>Per event</t>
  </si>
  <si>
    <t>One register entry per evaluated event, including the ones that do not become incidents. The non-incidents are what show the evaluation happened.</t>
  </si>
  <si>
    <t>Event evaluation records with severity and reasoning</t>
  </si>
  <si>
    <t>Applies. The distinction the policy draws between a security event and a security incident is the whole of CC7.3 — an event becomes an incident only when someone evaluates it and says so, and that decision has to be visible.</t>
  </si>
  <si>
    <t>POL-IRP-001 §5, §8</t>
  </si>
  <si>
    <t>POL-IRP-001 §5 defines a security event as any observable occurrence suggesting a weakness or attempted or actual compromise, and a security incident as an event the Security Officer has evaluated and declared. §8 requires the Security Officer to evaluate each reported event, assign a severity, declare an incident where warranted, and record the decision and its reasoning.</t>
  </si>
  <si>
    <t>Nothing outstanding in policy. Expect very few events in year one and record the evaluations anyway — an empty incident register proves nothing about whether evaluation occurred.</t>
  </si>
  <si>
    <t>CC7.3-02</t>
  </si>
  <si>
    <t>A four-level severity scale with defined triggers governs response, severity is reassessed as understanding improves, and is raised readily but lowered only with a recorded reason.</t>
  </si>
  <si>
    <t>Per incident</t>
  </si>
  <si>
    <t>Severity as a required field driving the response clock and the evidence requirements, not a label applied afterwards.</t>
  </si>
  <si>
    <t>Severity assignments with reassessment history</t>
  </si>
  <si>
    <t>Applies. The policy's own framing is right: consistent classification matters more than precise classification, because severity decides who is woken, what clock starts and what evidence is preserved.</t>
  </si>
  <si>
    <t>POL-IRP-001 §5</t>
  </si>
  <si>
    <t>POL-IRP-001 §5 sets Severity One for known or likely client data access or exfiltration, production unavailable to clients, or persistent attacker access; Severity Two for credible but unconfirmed compromise, a control failure that could permit access to client data, or a critical vendor incident; Severity Three for contained events with no evident exposure; and Severity Four for events recorded for trend purposes. It requires severity reassessed as understanding improves, raised readily and lowered only with a recorded reason, since the cost of over-responding is small.</t>
  </si>
  <si>
    <t>Nothing outstanding in policy. The asymmetry between raising and lowering severity is the clause to preserve — it is what stops severity being negotiated downward under pressure.</t>
  </si>
  <si>
    <t>CC7.3-03</t>
  </si>
  <si>
    <t>A complete population of alerts raised in a period is retained together with the disposition of each, including those assessed as not requiring incident response.</t>
  </si>
  <si>
    <t>Monthly</t>
  </si>
  <si>
    <t>Export the population rather than the exceptions. The dismissed alerts are the evidence that dismissal was a decision.</t>
  </si>
  <si>
    <t>Complete alert population with disposition per alert</t>
  </si>
  <si>
    <t>Applies. This is the single most requested CC7.3 artifact and the one most often unavailable, because most tooling shows open alerts by default and the closed ones age out of view.</t>
  </si>
  <si>
    <t>POL-LOG-001 §13 + POL-IRP-001 §8</t>
  </si>
  <si>
    <t>POL-LOG-001 §13 requires the complete population of alerts raised in a period together with the disposition of each, including those assessed as not requiring incident response, and dated monthly review records identifying the reviewer and the period covered.</t>
  </si>
  <si>
    <t>Nothing outstanding in policy. Confirm the alert source retains dispositions for the full observation window — the requirement is on the Company, but the constraint is usually the tool's default retention.</t>
  </si>
  <si>
    <t>CC7.3-04</t>
  </si>
  <si>
    <t>Reports from clients, security researchers and the public through the published disclosure channel, and notifications that a vendor has suffered an incident, enter the same evaluation process as internally detected events.</t>
  </si>
  <si>
    <t>One intake, several sources. A separate handling path for external reports produces a second population and a second standard.</t>
  </si>
  <si>
    <t>Register entries showing external and vendor-originated events</t>
  </si>
  <si>
    <t>Applies with force for a security firm. A vendor notification is a Company event to be evaluated, not an item to be filed — the policy is explicit about that and it is easy to treat otherwise.</t>
  </si>
  <si>
    <t>POL-IRP-001 §7 + POL-VM-001 §7</t>
  </si>
  <si>
    <t>POL-IRP-001 §7 requires reports received from clients, security researchers or the public through the published disclosure channel to enter this process on the same terms as internally detected events, and requires a vendor notification that a provider has suffered an incident to be treated as a Company event and evaluated for effect on Company and client data. POL-VM-001 §7 requires vendor security incidents affecting Company or customer data handled under the Incident Response Plan including evaluation of notification obligations.</t>
  </si>
  <si>
    <t>Nothing outstanding in policy. The external half depends on CC2.3-02 being published — until then the researcher route exists on paper only.</t>
  </si>
  <si>
    <t>Incident response</t>
  </si>
  <si>
    <t>4 of 5</t>
  </si>
  <si>
    <t>CC7.4-01</t>
  </si>
  <si>
    <t>Incident roles are assigned by name in advance — incident lead, Accountable Party, communications lead and scribe — with the incident lead and communications lead being different people at Severity Two and above.</t>
  </si>
  <si>
    <t>Name them in the plan and verify the assignment at the annual exercise, when the contact list is checked anyway.</t>
  </si>
  <si>
    <t>Named role assignments and current contact list</t>
  </si>
  <si>
    <t>Applies, and this is the row where the policy and the Company do not currently fit each other. POL-IRP-001 §6 opens by stating the Company has fifteen to twenty people and assigns four distinct roles on that basis. At current headcount those four roles cannot be filled, and the requirement that the incident lead and communications lead be different people cannot be met at Severity One.</t>
  </si>
  <si>
    <t>POL-IRP-001 §6</t>
  </si>
  <si>
    <t>POL-IRP-001 §6 states the Company has fifteen to twenty people, makes the Security Officer the default incident lead with a named substitute where unavailable, gives the Accountable Party external notification, payment, counsel and material commercial decisions, requires a communications lead as the only external communicator and a scribe recording the timeline for any incident at Severity Two or above, requires the incident lead and communications lead to be different people since each becomes a full-time task at Severity One, and requires a current contact list including the cloud provider support path, external counsel, the cyber insurer and any retained responder.</t>
  </si>
  <si>
    <t>Reconcile the policy with actual headcount. Either name the external parties who fill the communications lead and scribe roles — a retained responder or counsel can do so — or record a documented limitation with a compensating control, as POL-RSK-001 §1 already contemplates. The current position asserts a capability the Company does not have, which is worse at audit than a stated constraint.</t>
  </si>
  <si>
    <t>CC7.4-02</t>
  </si>
  <si>
    <t>Containment is proportionate, may be taken before root cause is established, and every containment action is recorded with its timestamp because those timestamps determine the exposure window.</t>
  </si>
  <si>
    <t>A timestamped action log kept as the incident runs. Reconstructing timestamps afterwards produces a record that cannot support a notification decision.</t>
  </si>
  <si>
    <t>Containment action log with timestamps</t>
  </si>
  <si>
    <t>Applies. The clause requiring all sessions revoked and authenticators reviewed for unauthorised enrolment — not merely the password reset — is the specific detail that closes the most common re-entry path.</t>
  </si>
  <si>
    <t>POL-IRP-001 §8</t>
  </si>
  <si>
    <t>POL-IRP-001 §8 requires containment proportionate and permits it before root cause is established, including suspending an identity, revoking credentials and sessions and isolating an endpoint; requires containment actions recorded with timestamps since these determine the exposure window and therefore the scope of any notification; requires all sessions revoked and authenticators reviewed for unauthorised enrolment where credentials may be compromised; and requires any decision not to contain immediately taken by the Accountable Party and recorded with its reasoning.</t>
  </si>
  <si>
    <t>Nothing outstanding in policy. Waiting for certainty before acting is named as the most common way a small incident becomes a large one — carry that into the tabletop scenario so the instinct is rehearsed.</t>
  </si>
  <si>
    <t>CC7.4-03</t>
  </si>
  <si>
    <t>Evidence is captured before a compromised system is rebuilt, logs are preserved beyond their normal retention, handling is recorded, and agent action logs are preserved alongside conventional evidence.</t>
  </si>
  <si>
    <t>A snapshot-first step in the response runbook. Capture precedes rebuild, and the runbook is what enforces the order under pressure.</t>
  </si>
  <si>
    <t>Preserved evidence with access and transfer records</t>
  </si>
  <si>
    <t>Applies. The policy's observation is correct and worth repeating in training: evidence is destroyed by well-intentioned remediation more often than by attackers.</t>
  </si>
  <si>
    <t>POL-IRP-001 §9</t>
  </si>
  <si>
    <t>POL-IRP-001 §9 requires a forensic copy taken where practicable before a compromised system is rebuilt or terminated, including a volume snapshot and memory capture where supported; platform audit, identity provider, endpoint and application logs for the relevant period exported and preserved outside their normal retention lifecycle; preserved evidence stored with restricted access and each transfer or access recorded; agent action logs, tool invocations, inputs and outputs preserved where an agent or automated system is implicated; and evidence subject to legal or regulatory process placed under legal hold and exempted from routine deletion.</t>
  </si>
  <si>
    <t>Nothing outstanding in policy. The legal hold mechanism referenced here is defined in POL-DRD-001 §8 — confirm the two describe the same process rather than two.</t>
  </si>
  <si>
    <t>CC7.4-04</t>
  </si>
  <si>
    <t>Notification obligations are extracted from customer agreements in advance with the shortest applicable period and its trigger recorded, the breach assessment is recorded including where notification is not required, and the decision to notify is approved by the Accountable Party.</t>
  </si>
  <si>
    <t>Per incident + annual</t>
  </si>
  <si>
    <t>The extract is a page, maintained alongside the commitments register from CC2.3-01 and verified current at the annual exercise.</t>
  </si>
  <si>
    <t>Notification obligation extract, breach assessments, notifications made</t>
  </si>
  <si>
    <t>Applies. The policy states the reason plainly: the clock is contractual and regulatory and starts before the Company understands what happened, so the obligations have to be extracted in advance rather than read out of a contract during an incident.</t>
  </si>
  <si>
    <t>POL-IRP-001 §11</t>
  </si>
  <si>
    <t>POL-IRP-001 §11 requires an extract of notification obligations from customer agreements recording the shortest applicable period and the trigger that starts it, kept current; notification of the affected client without undue delay where the Company acts as processor; notification to the covered entity per the business associate agreement where PHI is handled; the breach assessment recorded including where the conclusion is that notification is not required and why; the decision to notify, its timing and content approved by the Accountable Party with counsel engaged where the obligation is unclear; notifications stating what is known, what is not yet known and what the recipient should do, followed by updates; and all notifications and non-notification decisions retained.</t>
  </si>
  <si>
    <t>Nothing outstanding in policy. The extract cannot be built until the commitments register at CC2.3-01 exists — the two are the same source read for different purposes.</t>
  </si>
  <si>
    <t>CC7.4-05</t>
  </si>
  <si>
    <t>Artificial intelligence and agentic events are named as incidents, the first containment action is to pause or disable the agent, activity is reconstructed from logs, and what reached a third-party provider is established.</t>
  </si>
  <si>
    <t>A documented pause mechanism per agent, tested, so containment does not depend on improvisation during an incident.</t>
  </si>
  <si>
    <t>AI incident records with reconstruction and provider enquiry</t>
  </si>
  <si>
    <t>Applies with force and closes a gap most incident plans have. The policy's own diagnosis is right: AI incidents get handled informally because nobody has said they are incidents — this section says so.</t>
  </si>
  <si>
    <t>POL-IRP-001 §10 + POL-VPM-001 §11</t>
  </si>
  <si>
    <t>POL-IRP-001 §10 declares as incidents confidential information entered into an AI tool that should not have received it and related events; requires the first containment action to be pausing or disabling the agent using the mechanism required by the Secure SDLC Policy; requires activity reconstructed from logs identifying the triggering input, tools invoked, actions taken, resulting changes and whether a human approval gate was passed; requires the Company to establish what reached a third-party provider, whether it is retained, whether it may be used for training and what deletion is available; requires a wrong output that reached a client corrected in writing with anything else produced by the same path identified; and requires assessment for notification on the same basis as any other incident, since the route of disclosure does not alter the obligation.</t>
  </si>
  <si>
    <t>Nothing outstanding in policy. Test the pause mechanism for each agent before it is needed — a containment step that has never been executed is an assumption, not a control.</t>
  </si>
  <si>
    <t>Recovery from incidents</t>
  </si>
  <si>
    <t>CC7.5-01</t>
  </si>
  <si>
    <t>Systems are restored to a known-good state, credentials rotated and the vector confirmed closed before an incident is closed, with enhanced monitoring applied to affected systems for a defined period afterwards.</t>
  </si>
  <si>
    <t>Closure criteria as a checklist on the incident record, so closure is a decision against criteria rather than a judgement that things look quiet.</t>
  </si>
  <si>
    <t>Closure records showing restoration, rotation and vector confirmation</t>
  </si>
  <si>
    <t>Applies. Enhanced monitoring after closure is the clause most often dropped, and re-entry through a persistence mechanism is exactly what it exists to catch.</t>
  </si>
  <si>
    <t>POL-IRP-001 §13</t>
  </si>
  <si>
    <t>POL-IRP-001 §13 requires systems restored to a known-good state, credentials rotated and the vector confirmed closed before an incident is closed, and requires enhanced monitoring applied to affected systems for a defined period after closure since re-entry through a persistence mechanism is common.</t>
  </si>
  <si>
    <t>Nothing outstanding in policy. Define what “a defined period” means once, so it is not negotiated at the end of each incident when everyone wants to close it.</t>
  </si>
  <si>
    <t>CC7.5-02</t>
  </si>
  <si>
    <t>A post-incident review is held for every incident of Severity Two or above and for any incident that reached a client, within ten business days of closure, identifying root cause, what failed, what worked and corrective actions with owners and dates.</t>
  </si>
  <si>
    <t>A standing template with the four headings. Conducted without attribution to individuals, which the policy requires and which determines whether people report next time.</t>
  </si>
  <si>
    <t>Post-incident review records with corrective actions</t>
  </si>
  <si>
    <t>Applies. The policy is right that the output is corrective actions rather than a narrative — a review that produces only a story has not produced a control.</t>
  </si>
  <si>
    <t>POL-IRP-001 §13 requires a post-incident review for every incident of Severity Two or above and for any incident that reached a client, within ten business days of closure; requires the review to identify root cause, what detection or control failed, what worked, and corrective actions with named owners and due dates, conducted without attribution to individuals; and requires a defect identified in a policy, plan or procedure to be amended with the amendment recorded in its revision history.</t>
  </si>
  <si>
    <t>Nothing outstanding in policy. Expect a nil return in year one and record it — no incidents at Severity Two or above is a result, and the absence of review records otherwise looks like an unperformed control.</t>
  </si>
  <si>
    <t>CC7.5-03</t>
  </si>
  <si>
    <t>Corrective actions from incidents are recorded in the single deficiency population, tracked to closure, and their completion reported to the Steering Committee.</t>
  </si>
  <si>
    <t>Route to the same plan of action as every other deficiency. A dedicated incident actions list is a fourth population nobody reconciles.</t>
  </si>
  <si>
    <t>Corrective actions in the deficiency population with closure</t>
  </si>
  <si>
    <t>Applies. Incident corrective actions are the highest-value deficiencies the Company will generate, and they are the ones most likely to be tracked somewhere separate because the incident record feels like the natural home.</t>
  </si>
  <si>
    <t>POL-IRP-001 §13 (deficiency log)</t>
  </si>
  <si>
    <t>POL-IRP-001 §13 requires corrective actions recorded in the deficiency log, tracked to closure, and their completion reported to the Steering Committee. That is a fifth name for the deficiency destination, alongside the plan of action at POL-ISP-001 §8, the deficiency log at POL-CM-001 §12, the risk register at POL-BCP-001 §13 and the finding population at POL-VPM-001 §13. No policy states that these are the same artifact.</t>
  </si>
  <si>
    <t>Same fix as CC4.2-03 and the reason it matters more here: choose the POL-ISP-001 §8 plan of action as the single destination and amend the other four policies to name it. Incident corrective actions tracked in a separate list are the ones an auditor will find unreconciled.</t>
  </si>
  <si>
    <t>CC7.5-04</t>
  </si>
  <si>
    <t>The incident response plan is exercised at least annually through a tabletop, the contact list, notification extract and escalation paths are verified current during the exercise, and the plan is reviewed annually and after any Severity One incident.</t>
  </si>
  <si>
    <t>One exercise a year, one record, verifying three artifacts while everyone is in the room. The verification costs nothing extra and is the part that decays.</t>
  </si>
  <si>
    <t>Exercise record with contact list and notification extract verified</t>
  </si>
  <si>
    <t>Applies. The policy states the reason exactly: in a period with no incidents, the exercise is the only evidence that this plan works. Combine it with the CC4.1-06 continuity exercise so one sitting produces both records.</t>
  </si>
  <si>
    <t>POL-IRP-001 §14 + POL-SAT-001 §10</t>
  </si>
  <si>
    <t>POL-IRP-001 §14 requires the plan exercised at least annually through a tabletop conducted in accordance with the Security Awareness and Training Policy with the exercise record retained; requires the contact list, notification obligation extract and escalation paths verified as current during each exercise; requires defects revealed by an exercise corrected in the plan and the correction recorded; and requires the plan reviewed at least annually and after any Severity One incident.</t>
  </si>
  <si>
    <t>Nothing outstanding in policy. Run it in the same sitting as the CC4.1-06 continuity exercise and use a scenario POL-BCP-001 §13 already names — unavailability of the Security Officer during an active incident tests both plans and the CC7.4-01 role gap at once.</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</si>
  <si>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All twenty-one rows score 1.</t>
  </si>
  <si>
    <t>An N/A with no rationale turns the rationale cell red. Nothing in CC7 is safely N/A. CC7.4-01 is the row to watch: the incident role model in POL-IRP-001 §6 assumes fifteen to twenty people and cannot be operated at current headcount. That is a documented limitation to record, not a reason to exclude the control.</t>
  </si>
  <si>
    <t>Column N names the document and section that owns each control, verified against the approved policy library in Polcies.zip. Columns O to Q assess this tab against that library rather than the implementation plans, on the same basis as CC3 to CC6. The result is 19 Yes and 2 Partial. POL-IRP-001 and POL-LOG-001 are both unusually complete — the AI and agentic incident section at POL-IRP-001 §10, the agent activity logging at POL-LOG-001 §10 and the prohibition on relying on provider-side logging at §11 all go beyond what CC7 requires. The two Partials are worth different responses. CC7.5-03 is the deficiency-destination problem again, now with a fifth name for the same artifact. CC7.4-01 is more serious and is not a drafting matter: POL-IRP-001 §6 states the Company has fifteen to twenty people and builds a four-role incident structure on that premise, including a requirement that the incident lead and communications lead be different people. At actual headcount that structure cannot be staffed, and a policy asserting a capability the Company does not have is a worse audit position than a recorded limitation.</t>
  </si>
  <si>
    <t>CC8 — Change Management</t>
  </si>
  <si>
    <t>7 control activities under CC8.1.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</si>
  <si>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Authorises, designs, develops, tests, approves and implements changes</t>
  </si>
  <si>
    <t>CC8.1-01</t>
  </si>
  <si>
    <t>Every change in scope is recorded in the change tracking system with a description, a business justification and an identified owner.</t>
  </si>
  <si>
    <t>Per change</t>
  </si>
  <si>
    <t>The pull request is the change record. Requiring a separate ticket alongside it duplicates work and produces two populations that disagree.</t>
  </si>
  <si>
    <t>Change records with description, justification and owner</t>
  </si>
  <si>
    <t>Applies. The scope statement matters as much as the record: infrastructure as code, identity provider configuration, security control settings and logging configuration are all in scope regardless of how small the change looks.</t>
  </si>
  <si>
    <t>POL-CM-001 §5, §9</t>
  </si>
  <si>
    <t>POL-CM-001 §5 requires all changes in scope recorded in the change tracking system with a description, business justification and identified owner. §9 brings infrastructure as code, identity provider configuration, security control settings, logging configuration and any change affecting customer commitments into scope regardless of category, and excludes changes confined to non-production environments except where production data is present, in which case the policy applies in full.</t>
  </si>
  <si>
    <t>Nothing outstanding in policy. Decide now that the pull request is the change record, so a second tracking system never gets introduced.</t>
  </si>
  <si>
    <t>CC8.1-02</t>
  </si>
  <si>
    <t>Changes are assessed for security impact before approval, including effects on access controls, data protection, logging and customer commitments.</t>
  </si>
  <si>
    <t>Four checkboxes on the pull request template. The assessment is worth more as a prompt at the moment of change than as a form completed afterwards.</t>
  </si>
  <si>
    <t>Security impact assessment recorded on the change</t>
  </si>
  <si>
    <t>Applies. The customer-commitments element is the one that connects this tab to CC2.3 — a change that alters what the Company can promise needs to reach the commitments register.</t>
  </si>
  <si>
    <t>POL-CM-001 §5 + POL-RSK-001 §12</t>
  </si>
  <si>
    <t>POL-CM-001 §5 requires changes assessed for security impact before approval, including effects on access controls, data protection, logging and customer commitments. POL-RSK-001 §12 additionally makes a material change to network or identity architecture, a new AI service or model provider, and a new contractual security commitment triggers for risk reassessment.</t>
  </si>
  <si>
    <t>Nothing outstanding in policy. Make the CC3.4 trigger list visible on the pull request template so the change assessment and the risk trigger are answered in the same place.</t>
  </si>
  <si>
    <t>CC8.1-03</t>
  </si>
  <si>
    <t>Changes are approved before implementation by someone who is not the sole author, tested in a non-production environment where practicable, and carry a documented rollback plan.</t>
  </si>
  <si>
    <t>Branch protection enforces the approver requirement; the rollback position belongs in the pull request description rather than in someone's memory.</t>
  </si>
  <si>
    <t>Approval records and rollback plans per change</t>
  </si>
  <si>
    <t>Applies, with the honest constraint that at two people the non-author approver is always the same person. POL-CM-001 §6 anticipates this and requires a stated alternative where independent review is not possible — use it rather than leaving self-approvals unexplained.</t>
  </si>
  <si>
    <t>POL-CM-001 §5, §6</t>
  </si>
  <si>
    <t>POL-CM-001 §5 requires changes approved before implementation by the Security Officer or a designated approver who is not the sole author, tested in a non-production environment where practicable, with a documented rollback or remediation plan, and prohibits direct unreviewed modification of production. §6 requires code and configuration changes reviewed by a person other than the author wherever staffing permits, with an alternative stated where independent review is not possible.</t>
  </si>
  <si>
    <t>Nothing outstanding in policy. Record the §6 alternative explicitly in the Annual Assessment — self-approved changes will appear in the CC4.1-05 quarterly review and the compensating control needs to be already written down when they do.</t>
  </si>
  <si>
    <t>CC8.1-04</t>
  </si>
  <si>
    <t>Production is reached only through the pipeline, branch protection requires a pull request with at least one approving review from a non-author and passing status checks, and direct modification of production raises an alert.</t>
  </si>
  <si>
    <t>Where the pipeline can enforce a requirement, that enforcement is the control and its record is the evidence — the policy's own formulation, and the right one.</t>
  </si>
  <si>
    <t>Branch protection settings and pipeline deployment records</t>
  </si>
  <si>
    <t>Applies. Branch protection on private repositories needs GitHub Team, which is the dependency already flagged at Setup step 7 and which gates this row, CC4.1-05 and CC5.2-04 together.</t>
  </si>
  <si>
    <t>POL-CM-001 §10</t>
  </si>
  <si>
    <t>POL-CM-001 §10 requires production changes to reach production only through the pipeline with direct modification prohibited and alerting; branch protection requiring a pull request, at least one approving review from someone other than the author and passing status checks before merge to a production branch; deployment automated so the deployment record is a by-product rather than assembled afterwards; pipeline credentials short-lived and obtained through workload identity federation with no long-lived deployment credentials stored; and pipeline definitions and branch protection settings themselves treated as changes in scope that shall not be altered outside the policy.</t>
  </si>
  <si>
    <t>Nothing outstanding in policy. The clause making branch protection settings themselves in-scope changes is the one that stops the control being quietly relaxed — verify it is honoured when the settings are first configured.</t>
  </si>
  <si>
    <t>CC8.1-05</t>
  </si>
  <si>
    <t>Changes are categorised as standard, normal or emergency; the standard list is maintained and reviewed annually; emergency changes are retroactively approved within five business days and their frequency reviewed quarterly.</t>
  </si>
  <si>
    <t>Per change + quarterly</t>
  </si>
  <si>
    <t>Category as a label on the change. The quarterly emergency count is one query and it is the number that reveals whether the normal path is usable.</t>
  </si>
  <si>
    <t>Category assignments, emergency change records with retrospective approval</t>
  </si>
  <si>
    <t>Applies. The policy's reasoning is sound — a process treating every change identically will be worked around — and the quarterly emergency frequency review is the feedback loop that detects it happening.</t>
  </si>
  <si>
    <t>POL-CM-001 §7, §9</t>
  </si>
  <si>
    <t>POL-CM-001 §9 defines standard changes as pre-approved, low-risk and repeatable with the list maintained by the Security Officer and reviewed at least annually; normal changes requiring assessment and approval by a person other than the author; and emergency changes as the exception rather than a faster route, with their frequency reviewed quarterly since recurring use indicates the normal path is too slow. §7 permits emergency changes before full approval where authorised by the Security Officer or delegate, and requires them documented, reviewed and retroactively approved within five business days with follow-up remediation tracked to closure.</t>
  </si>
  <si>
    <t>Nothing outstanding in substance, but fix a cross-reference at the next revision: §9 states that emergency changes “follow Section 9”, which is the section making the statement — the emergency path is Section 7. This is the same class of defect as the POL-RSK-001 §8 and §9 mis-citation.</t>
  </si>
  <si>
    <t>CC8.1-06</t>
  </si>
  <si>
    <t>Changes to prompts, tool definitions, retrieval configuration, guardrails and model versions follow the same approval path as code, model versions are pinned, and an agent may not approve, merge or deploy a change to production.</t>
  </si>
  <si>
    <t>Hold prompts and tool definitions in the repository so the existing branch protection covers them without a second process.</t>
  </si>
  <si>
    <t>Version-controlled prompt and configuration changes with approvals</t>
  </si>
  <si>
    <t>Applies with force. The policy's framing is exactly right — model behaviour is production behaviour, and a change that alters what a system does belongs here whether it is expressed as code or as text.</t>
  </si>
  <si>
    <t>POL-CM-001 §11 + POL-LOG-001 §11</t>
  </si>
  <si>
    <t>POL-CM-001 §11 requires system prompts, tool definitions, retrieval configuration and guardrail settings held in version control and changed through the same pull request and approval path as code; model versions pinned explicitly with adoption of a replacement treated as a change requiring assessment, testing and approval; granting an agent a new tool, broader permission or new data source treated as an in-scope change re-evaluated against guardrail and evaluation requirements; adoption of a new model provider or open-source model additionally triggering vendor assessment and risk reassessment; code or configuration generated with AI assistance receiving no exemption from review with the submitter as author; and an agent prohibited from approving, merging or deploying a change to production.</t>
  </si>
  <si>
    <t>Nothing outstanding in policy — this is among the strongest clauses in the library and few companies of any size have it. The provision that AI-generated code receives no review exemption is worth stating in awareness training, since it is the one people assume otherwise.</t>
  </si>
  <si>
    <t>CC8.1-07</t>
  </si>
  <si>
    <t>A complete population of production deployments for any period is exportable, each traceable to an approved change and to an approver other than the author.</t>
  </si>
  <si>
    <t>The pipeline record is the authoritative population. Export it rather than assembling a list, because an assembled list cannot be shown to be complete.</t>
  </si>
  <si>
    <t>Exportable deployment population traceable to approvals</t>
  </si>
  <si>
    <t>Applies. This is the artifact CC8.1 is actually tested on: not whether changes were approved, but whether the complete set of changes can be produced and each one traced.</t>
  </si>
  <si>
    <t>POL-CM-001 §10, §12</t>
  </si>
  <si>
    <t>POL-CM-001 §10 requires deployment automated so the deployment record is created as a by-product rather than assembled afterwards, states the pipeline record is the authoritative population of changes, and requires a complete population of production deployments for any period to be exportable with each traceable to an approved change and an approver other than the author. §12 requires every change record to identify the author, the approver, the assessment performed, the testing evidence, the deployment time and the rollback position.</t>
  </si>
  <si>
    <t>Nothing outstanding in policy. Verify the export actually reconciles to the merge history before the first observation period, rather than discovering a gap between them when the auditor samples.</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</si>
  <si>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All seven rows score 1.</t>
  </si>
  <si>
    <t>An N/A with no rationale turns the rationale cell red. Nothing in CC8 is safely N/A. The non-author approver requirement at CC8.1-03 is the row size makes hard, and POL-CM-001 §6 already supplies the treatment: state the alternative where independent review is not possible, rather than dropping the requirement.</t>
  </si>
  <si>
    <t>Use the outline buttons in the left margin (1 / 2, or the +/− next to the criterion) to collapse and expand. Level 1 shows the criterion row only; level 2 shows every control.</t>
  </si>
  <si>
    <t>Column N names the document and section that owns each control, verified against the approved policy library in Polcies.zip. Columns O to Q assess this tab against that library rather than the implementation plans, on the same basis as CC3 to CC7. The result is 7 Yes and no gaps — POL-CM-001 addresses CC8.1 clause by clause and §11 on AI and agentic components goes well beyond it, treating prompts, tool definitions and guardrail settings as production changes and prohibiting an agent from approving, merging or deploying to production. Two things gate the whole tab in practice rather than in policy. Branch protection on private repositories requires GitHub Team, which is the dependency at Setup step 7 and which CC4.1-05, CC5.2-04 and CC8.1-04 all rest on. And at two people the non-author approver at CC8.1-03 is always the same person, so the §6 alternative needs recording before the first quarterly change review surfaces it. One drafting defect to fix at the next revision: POL-CM-001 §9 states that emergency changes follow Section 9, which is itself — the emergency path is Section 7.</t>
  </si>
  <si>
    <t>CC9 — Risk Mitigation</t>
  </si>
  <si>
    <t>10 control activities across CC9.1–CC9.2. Same scale and same columns as the CC1 and CC2 tabs, except that columns O to Q assess this tab against the approved policy library rather than the implementation plans, and are labelled accordingly. Scores were set from that policy review and are capped at 1 — a control written into an approved policy scores 1; moving to 2 means showing it operating.</t>
  </si>
  <si>
    <t>Business disruption risk mitigation</t>
  </si>
  <si>
    <t>CC9.1-01</t>
  </si>
  <si>
    <t>A business impact analysis identifies critical activities, the systems, data, personnel and third parties each depends on, assigns criticality ratings with the recovery objectives that follow, and is reviewed annually and on significant change.</t>
  </si>
  <si>
    <t>Derive the dependency half from the asset and vendor inventories rather than rebuilding it. The analysis adds the criticality judgement, not the list.</t>
  </si>
  <si>
    <t>Business impact analysis with criticality ratings and recovery objectives</t>
  </si>
  <si>
    <t>Applies. The clause requiring the analysis to record whether more than one person can perform each critical activity is the one that matters most here — it is the mechanism that surfaces key person risk rather than assuming it.</t>
  </si>
  <si>
    <t>POL-BCP-001 §5, §6</t>
  </si>
  <si>
    <t>POL-BCP-001 §5 requires a business impact analysis identifying critical activities and the systems, data, third parties and personnel each depends on, assigning each system and data set a criticality rating with the RTO and RPO that follow, recording for each critical activity whether more than one person can perform it and raising single-person activities as key person risks, and reviewed at least annually and on any significant change. §6 requires a shorter client-committed objective to govern for the affected engagement and any RPO gap against provider capability recorded in the risk register.</t>
  </si>
  <si>
    <t>Nothing outstanding in policy. The analysis has not been performed — it is the input to CC9.1-04, so it comes first.</t>
  </si>
  <si>
    <t>CC9.1-02</t>
  </si>
  <si>
    <t>The continuity strategy holds no unique state outside recoverable systems: infrastructure is defined as code sufficient to rebuild in another Availability Zone or Region, and Critical workloads are deployed across at least two zones.</t>
  </si>
  <si>
    <t>Infrastructure as code delivers this and CC5.2-03 at once. The recovery position is a property of how the estate is built rather than a separate arrangement.</t>
  </si>
  <si>
    <t>Infrastructure as code repository and multi-zone deployment evidence</t>
  </si>
  <si>
    <t>Applies. The strategy is well matched to the operating model: because no unique data sits on endpoints, endpoint loss is an inconvenience rather than a disaster, and the policy says so explicitly as a benefit of the CC6.7-04 storage restrictions.</t>
  </si>
  <si>
    <t>POL-BCP-001 §7</t>
  </si>
  <si>
    <t>POL-BCP-001 §7 requires production infrastructure defined in version-controlled infrastructure as code sufficient to rebuild the environment in a different Availability Zone or Region, Critical workloads deployed across at least two Availability Zones with cross-Region recovery by redeployment from code together with data restoration, capacity and performance monitored with capacity forecast at least annually, and emergency access through a documented break-glass procedure with credentials held offline in sealed form, tested annually and alerting on use.</t>
  </si>
  <si>
    <t>Nothing outstanding in policy. The break-glass requirement here and at POL-PWD-001 §11 describe the same credentials in slightly different terms — reconcile them so there is one procedure and one test record.</t>
  </si>
  <si>
    <t>CC9.1-03</t>
  </si>
  <si>
    <t>Data is backed up on a schedule consistent with the recovery point objective, encrypted, replicated to a second Region, immutable for Critical data, and restoration is tested at least annually by restoring actual data and verifying its integrity.</t>
  </si>
  <si>
    <t>Immutable backups with automatic expiry aligned to the retention schedule. Backup failures alert and are resolved or recorded as an exception within five business days.</t>
  </si>
  <si>
    <t>Backup configuration, restoration test records, failure and exception records</t>
  </si>
  <si>
    <t>Applies. Immutability is the specific protection against the CC7.4 ransomware case, because backups are commonly targeted before encryption begins. A restoration test that verifies only that a job completed is not a test.</t>
  </si>
  <si>
    <t>POL-BCP-001 §9</t>
  </si>
  <si>
    <t>POL-BCP-001 §9 requires all Company and client data backed up on a schedule consistent with the RPO, encrypted at rest and in transit and replicated to a second Region; backups of Critical data immutable for their retention period so they survive credential compromise, administrative error and ransomware; backup retention not exceeding the retention period of the data it contains and expiring automatically; restoration tested at least annually and whenever the backup architecture changes, restoring actual data and verifying integrity; client data not restored into non-production environments unless de-identified or authorised in writing; and backup failures alerting to the Security Officer and resolved or recorded as an exception within five business days.</t>
  </si>
  <si>
    <t>Nothing outstanding in policy. Backup retention aligned to the POL-DRD-001 §6 schedule is also a customer-facing statement under POL-AM-001 §11 — it belongs in the CC2.3-01 commitments register as well as in the configuration.</t>
  </si>
  <si>
    <t>CC9.1-04</t>
  </si>
  <si>
    <t>Every critical responsibility has a documented procedure and a named alternate, and the Security Officer role has a designated alternate with equivalent access available through the break-glass procedure.</t>
  </si>
  <si>
    <t>Name the alternate in the business impact analysis and verify the break-glass access works at the annual test, when it is being tested anyway.</t>
  </si>
  <si>
    <t>Named alternates per critical responsibility and break-glass test record</t>
  </si>
  <si>
    <t>Applies, and this is the row where headcount bites hardest. POL-BCP-001 §8 states that at a headcount below twenty the unavailability of one person is the Company's most probable disruption — at two people that is not a probability, it is the standing condition.</t>
  </si>
  <si>
    <t>POL-BCP-001 §8 + POL-RSK-001 §15</t>
  </si>
  <si>
    <t>POL-BCP-001 §8 requires every critical responsibility to have a documented procedure and a named alternate; requires the Security Officer role to have a designated alternate with equivalent access rights available through the break-glass procedure; requires recovery procedures written so a competent person who did not build the system can execute them and stored where they remain reachable; requires single-provider concentration recorded with its recovery position; and prohibits client-facing commitments the Company cannot meet with one critical person unavailable. POL-RSK-001 §15 requires key person risk assessed for each critical role including the Security Officer. No alternate has been designated and no critical-responsibility procedures exist.</t>
  </si>
  <si>
    <t>Designate the alternate and write it down — at current headcount that is the CEO, with break-glass access as the mechanism, and saying so is better than leaving it implicit. Then write the recovery procedures to the §8 standard: executable by someone who did not build the system. This is also open risk item 8 on the register.</t>
  </si>
  <si>
    <t>CC9.1-05</t>
  </si>
  <si>
    <t>A disruption likely to exceed a recovery objective is notified immediately, the CEO declares and the declaration is recorded, a contemporaneous log of actions and times is kept, security controls are not disabled during recovery, and stand-down confirms restoration.</t>
  </si>
  <si>
    <t>On invocation</t>
  </si>
  <si>
    <t>A one-page activation card held where it is reachable when the primary environment is not. The log is kept as it happens, not reconstructed.</t>
  </si>
  <si>
    <t>Declaration record, contemporaneous action log, stand-down confirmation</t>
  </si>
  <si>
    <t>Applies. The clause requiring controls not to be disabled during emergency operation is the one that gets tested in practice, because disabling a control is always the fastest route back to service.</t>
  </si>
  <si>
    <t>POL-BCP-001 §11</t>
  </si>
  <si>
    <t>POL-BCP-001 §11 requires any individual aware of a disruption likely to exceed an RTO to notify the Security Officer immediately; the CEO or designated alternate to declare a disaster and authorise invocation with the declaration, time and persons recorded; the Security Officer to assess impact, establish the recovery sequence by criticality, assign tasks and maintain a contemporaneous log; confidentiality and integrity to continue to be protected with security controls not disabled during emergency mode; the Incident Response Plan to govern where a disruption is or may be a security incident; and the CEO to stand down the response with the Security Officer confirming systems, data integrity and access controls restored to their pre-event state.</t>
  </si>
  <si>
    <t>Nothing outstanding in policy. Store the activation card outside the primary environment — a recovery procedure that lives only in the system being recovered is not available when it is needed.</t>
  </si>
  <si>
    <t>Vendor and business partner risk</t>
  </si>
  <si>
    <t>CC9.2-01</t>
  </si>
  <si>
    <t>Vendors are tiered by criticality and data sensitivity, and the inventory records tier, data shared, owner and review date and is reviewed at least annually.</t>
  </si>
  <si>
    <t>One inventory serving vendor management, the sub-processor list at CC2.3-03 and the concentration risk assessment at CC3.2-07. Never maintain a second list.</t>
  </si>
  <si>
    <t>Vendor inventory with tier, data shared, owner and review date</t>
  </si>
  <si>
    <t>Applies. The tiering is what makes the rest proportionate — a Low tier vendor holding no Company data should not receive the same assessment as a Critical one, and the policy is explicit about that.</t>
  </si>
  <si>
    <t>POL-VM-001 §5, §12</t>
  </si>
  <si>
    <t>POL-VM-001 §5 requires vendors tiered by criticality and data sensitivity — Critical for production infrastructure or Restricted data, High for Confidential data or an important business function, and lower tiers below — and requires the inventory including tier, data shared, owner and review date maintained by the Security Officer and reviewed at least annually. §12 lists the inventory with contract renewal date and attestation status among the exportable records.</t>
  </si>
  <si>
    <t>Nothing outstanding in policy. Build the inventory once and derive the CC2.3-03 sub-processor list from it, rather than publishing a separate list that will diverge.</t>
  </si>
  <si>
    <t>CC9.2-02</t>
  </si>
  <si>
    <t>Critical and High tier vendors are assessed before onboarding, Security Officer approval is required before Confidential or Restricted data is shared, and contracts carry confidentiality, data protection, breach notification, return or deletion and flow-down of customer requirements.</t>
  </si>
  <si>
    <t>Per vendor</t>
  </si>
  <si>
    <t>Approval before data is shared is a gate on the intake checklist, alongside the CC3.4 change trigger and the CC2.3-05 commitment review.</t>
  </si>
  <si>
    <t>Pre-onboarding assessment records and contract clauses</t>
  </si>
  <si>
    <t>Applies. The flow-down clause is what carries a client's requirements to a sub-processor, and it is the one most often omitted because it requires knowing what the client asked for — which is the CC3.1-03 obligations register again.</t>
  </si>
  <si>
    <t>POL-VM-001 §6</t>
  </si>
  <si>
    <t>POL-VM-001 §6 requires Critical and High tier vendors assessed before onboarding through review of independent attestations such as SOC 2 reports or ISO/IEC 27001 certificates and security documentation, requires Security Officer approval before Confidential or Restricted data is shared with a new vendor, and requires contracts with Critical and High tier vendors to include confidentiality, data protection, breach notification, data return or deletion and, where applicable, flow-down of customer and regulatory requirements.</t>
  </si>
  <si>
    <t>Nothing outstanding in policy. Add the vendor intake gate to the same checklist that carries the CC3.4-01 change triggers, so one intake step satisfies three criteria.</t>
  </si>
  <si>
    <t>CC9.2-03</t>
  </si>
  <si>
    <t>Attestations are reviewed rather than collected: a dated review records the period covered, the opinion, any exceptions, and identifies the complementary user entity controls the report places on the Company, each assigned an owner and confirmed as operating.</t>
  </si>
  <si>
    <t>A short dated review note per Critical and High vendor, filed with the inventory entry. Bridge letters where the report period does not cover the observation window.</t>
  </si>
  <si>
    <t>Dated attestation review notes with exceptions and CUEC owners named</t>
  </si>
  <si>
    <t>Applies, and the policy states the point better than most: obtaining a vendor report is not a control — reading it, recording what it says and acting on what falls to the Company is the control, and it is the one auditors test.</t>
  </si>
  <si>
    <t>POL-VM-001 §7, §9 + POL-PHY-001 §6</t>
  </si>
  <si>
    <t>POL-VM-001 §9 requires a dated review per Critical and High tier vendor stating the period covered, the opinion given and any exceptions; requires the complementary user entity controls identified with each assigned an owner and confirmed as operating, since a CUEC that nobody owns is unperformed; requires qualified opinions or relevant exceptions recorded in the risk register with a treatment decision; requires assessment by questionnaire where no attestation exists with the absence of independent assurance recorded; requires gaps between report period and observation window covered by a bridge letter or recorded as a limitation; and requires carve-outs recorded with the controls relied upon. §7 requires Critical vendors reassessed annually and High tier every two years.</t>
  </si>
  <si>
    <t>Nothing outstanding in policy. Three documents now require the AWS complementary user entity controls to be confirmed — this row, CC4.1-07 and CC6.4-02 — so perform it once at the annual risk assessment and reference it from all three.</t>
  </si>
  <si>
    <t>CC9.2-04</t>
  </si>
  <si>
    <t>Model providers are assessed as vendors and usually sub-processors, establishing training use, retention, hosting and the contract tier actually purchased, with zero-retention or no-training configuration evidenced by both the organisation setting and the contractual clause.</t>
  </si>
  <si>
    <t>Per provider + annual</t>
  </si>
  <si>
    <t>Record the contract tier as a field. Consumer and enterprise terms differ materially and the difference decides whether client data is safe to send.</t>
  </si>
  <si>
    <t>Model provider assessments with settings and contractual clauses evidenced</t>
  </si>
  <si>
    <t>Applies with force and is the clause that most distinguishes this policy set. Evidencing zero-retention twice — by setting and by clause — is the right requirement, because a setting without a clause can be changed by the provider without notice.</t>
  </si>
  <si>
    <t>POL-VM-001 §10 + POL-AI-001 §11</t>
  </si>
  <si>
    <t>POL-VM-001 §10 requires, before any Company or client data is sent to a model provider, that the assessment establishes and records whether submitted data is used to train or improve the provider's models, retention, hosting and the applicable terms; requires the contract tier actually purchased recorded because consumer and enterprise terms differ materially; requires zero-retention or no-training configuration evidenced twice, by the organisation-level setting and by the contractual clause; requires model providers processing client personal data to appear on the published sub-processor list with clients notified of additions; requires open-weight models assessed for licence, provenance and integrity with source and artifact digest recorded; requires deprecation and retirement notices monitored as reassessment triggers; and requires deletion commitments traced through to model providers, since deleting the Company's own copy does not satisfy a commitment where a provider retains data.</t>
  </si>
  <si>
    <t>Nothing outstanding in policy. The deletion-tracing clause is a customer commitment in substance — record it in the CC2.3-01 commitments register so it is reviewed annually against what providers actually offer.</t>
  </si>
  <si>
    <t>CC9.2-05</t>
  </si>
  <si>
    <t>Vendor offboarding revokes access and returns or deletes data with confirmation obtained, and shadow vendors are detected through allow-listed application access, quarterly connected-application review and periodic expenditure reconciliation.</t>
  </si>
  <si>
    <t>Per vendor + quarterly</t>
  </si>
  <si>
    <t>Allow-list first so a new integration needs approval, then quarterly review as the detection layer behind it.</t>
  </si>
  <si>
    <t>Offboarding records and quarterly connected-application review records</t>
  </si>
  <si>
    <t>Applies with force at this size. The policy's diagnosis is right: most unmanaged third-party risk arrives through someone connecting a useful tool, not through a procurement decision, and an unmanaged vendor usually appears on a card statement before it appears anywhere else.</t>
  </si>
  <si>
    <t>POL-VM-001 §8, §11, §12 + POL-AM-001 §9</t>
  </si>
  <si>
    <t>POL-VM-001 §8 requires access revoked and Company and customer data returned or deleted per contract with confirmation obtained on termination of a vendor relationship. §11 requires third-party application access to Google Workspace and the identity provider restricted by allow-list so a new integration requires approval, connected applications reviewed at least quarterly with applications not on the inventory removed or brought through the policy, expenditure reviewed periodically against the inventory, and personnel prohibited from entering Company or client data into a service not on the inventory.</t>
  </si>
  <si>
    <t>Nothing outstanding in policy. Name the owner of the expenditure reconciliation — it is finance work performed for a security purpose and it will not happen by default.</t>
  </si>
  <si>
    <t>0 Gap  ·  1 Documented  ·  2 Implemented  ·  3 Evidenced  ·  4 Automated  ·  N/A Not applicable.  Full definitions on the Read Me tab. Scores on this tab were set from the approved policy library and are therefore capped at 1: a control written into an approved policy scores 1, and moving to 2 requires showing it operating. All ten rows score 1.</t>
  </si>
  <si>
    <t>An N/A with no rationale turns the rationale cell red. Nothing in CC9 is safely N/A. CC9.1-04 key person risk is the row most likely to be treated as unavoidable and therefore not worth recording — that is exactly backwards, because at two people it is the Company's most probable disruption and a named alternate costs nothing to designate.</t>
  </si>
  <si>
    <t>Column N names the document and section that owns each control, verified against the approved policy library in Polcies.zip. Columns O to Q assess this tab against that library rather than the implementation plans, on the same basis as CC3 to CC8. The result is 9 Yes and 1 Partial. POL-VM-001 §9 and §10 are the standout clauses: §9 draws the distinction between collecting an attestation and reviewing it, requires complementary user entity controls assigned owners and confirmed as operating, and requires bridge letters for period gaps; §10 requires zero-retention and no-training positions evidenced twice, by organisation setting and by contractual clause, and requires client deletion commitments traced through to model providers rather than satisfied by deleting the Company's own copy. The single Partial is CC9.1-04: POL-BCP-001 §8 requires a designated alternate for the Security Officer with equivalent access through break-glass and a documented procedure for every critical responsibility, and neither exists. That is the same exposure as open risk item 8 on the register, and at current headcount the alternate is the CEO — saying so is better than leaving it implicit.</t>
  </si>
  <si>
    <t>Secureframe + GitHub — one-time setup</t>
  </si>
  <si>
    <t>Do these in order. Each step switches on evidence collection for the controls named in the Controls column, which reference rows on the Controls tabs. Steps 14 to 20 cover CC2; 21 to 26 cover CC3; 27 to 30 cover CC4.</t>
  </si>
  <si>
    <t>#</t>
  </si>
  <si>
    <t>Step</t>
  </si>
  <si>
    <t>What to do</t>
  </si>
  <si>
    <t>Why it matters</t>
  </si>
  <si>
    <t>Controls switched on</t>
  </si>
  <si>
    <t>OWNER</t>
  </si>
  <si>
    <t>Comments</t>
  </si>
  <si>
    <t>Status</t>
  </si>
  <si>
    <t>Connect the HRIS to Secureframe</t>
  </si>
  <si>
    <t>Secureframe &gt; Integrations &gt; your HR system (Gusto, Rippling, Justworks). Personnel import automatically as employees or contractors.</t>
  </si>
  <si>
    <t>Every personnel control depends on a correct roster. If the roster is manual it will be wrong at audit time, and one missing contractor is a finding.</t>
  </si>
  <si>
    <t>CC1.4-03, CC1.4-06</t>
  </si>
  <si>
    <t>Teja</t>
  </si>
  <si>
    <t>What is our HR System?</t>
  </si>
  <si>
    <t>Set up personnel groups</t>
  </si>
  <si>
    <t>Secureframe &gt; Personnel &gt; Settings &gt; Groups. The 'employee' and 'contractor' groups are assigned automatically — you do not need a separate new-hire group.</t>
  </si>
  <si>
    <t>Groups are how you assign the right policies and training without hand-picking people. Set them once and onboarding runs itself.</t>
  </si>
  <si>
    <t>CC1.1-02, CC1.4-06, CC2.2-02</t>
  </si>
  <si>
    <t>Upload the policy set</t>
  </si>
  <si>
    <t>Secureframe &gt; Policies. Upload the approved PDFs of POL-ISP-001, POL-COC-001, POL-PRIV-001 and the subordinate set. Assign each to the relevant groups.</t>
  </si>
  <si>
    <t>This is the acknowledgment engine. Acceptance tests reset automatically at the annual mark and the platform chases people, not you.</t>
  </si>
  <si>
    <t>CC1.1-01, CC1.1-02, CC1.5-01, CC2.2-01</t>
  </si>
  <si>
    <t>Praveen</t>
  </si>
  <si>
    <t>Turn on Employee Onboarding</t>
  </si>
  <si>
    <t>Secureframe &gt; Personnel &gt; gear icon &gt; Onboarding. Enable policy acceptance, background check, security awareness training and the agent install.</t>
  </si>
  <si>
    <t>One invite covers four separate CC1.4 controls. New-hire completions also count toward the annual requirement, so you are not running two cycles.</t>
  </si>
  <si>
    <t>CC1.4-02, CC1.4-03, CC1.4-04, CC1.4-05, CC2.2-03</t>
  </si>
  <si>
    <t>Add the COI declaration as a policy</t>
  </si>
  <si>
    <t>Upload 'Annual COI Declaration' as a policy document so it inherits the accept-and-reset workflow rather than living in a form or a spreadsheet.</t>
  </si>
  <si>
    <t>A conflict declaration is only useful if it is dated, versioned and chased. Reusing the policy workflow gets all three for free.</t>
  </si>
  <si>
    <t>I have created another simple COI</t>
  </si>
  <si>
    <t>Create the governance repo in GitHub</t>
  </si>
  <si>
    <t>One private repo. Suggested layout: /policies (approved markdown or PDF), /roles (one file per role), /assessments (annual assessment and advisor memo), /org (org chart).</t>
  </si>
  <si>
    <t>Git history is a tamper-evident approval trail with no extra tooling. The merge commit is your dated approval record.</t>
  </si>
  <si>
    <t>CC1.1-01, CC1.3-01, CC1.3-02, CC1.4-01, CC2.1-01</t>
  </si>
  <si>
    <t>Require pull request review on the governance repo</t>
  </si>
  <si>
    <t>Settings &gt; Rules: require a pull request and at least one approving review before merge on the default branch. Private-repo branch protection needs GitHub Team, not Enterprise.</t>
  </si>
  <si>
    <t>This is what turns 'the CEO approved it' into evidence. Without required review, a merge proves nothing about who approved.</t>
  </si>
  <si>
    <t>CC1.1-01, CC1.2-02</t>
  </si>
  <si>
    <t xml:space="preserve">Uddyan </t>
  </si>
  <si>
    <t>Let us know how can we simplify this step</t>
  </si>
  <si>
    <t>Connect GitHub to Secureframe</t>
  </si>
  <si>
    <t>Secureframe &gt; Integrations &gt; GitHub. Requires GitHub org admin rights to install the app. It syncs repos, branch settings, pull requests and code test configuration.</t>
  </si>
  <si>
    <t>Honest caveat: this integration mainly evidences change management (CC8.1), not CC1. For CC1 the value of GitHub is the versioned policy trail, not the integration.</t>
  </si>
  <si>
    <t>CC2.1-02, CC8.1 (adjacent)</t>
  </si>
  <si>
    <t>Add the two conduct issue labels</t>
  </si>
  <si>
    <t>In the governance repo create labels 'conduct' and 'delegation'. Use issues, never email, for conduct findings and delegated authority.</t>
  </si>
  <si>
    <t>Gives you a sampleable, timestamped record. An auditor can sample issues; nobody can sample an inbox.</t>
  </si>
  <si>
    <t>CC1.1-05, CC1.3-04, CC1.5-05</t>
  </si>
  <si>
    <t>Create the risk register entry for CC1.2</t>
  </si>
  <si>
    <t>Secureframe &gt; Risk Register: one entry for the absence of independent oversight, treatment 'accepted with compensating control', review date on the annual assessment.</t>
  </si>
  <si>
    <t>This is the artifact that turns an unavoidable gap into a managed one. Without it, the same fact is simply a deficiency.</t>
  </si>
  <si>
    <t>Route failing tests to a task tracker</t>
  </si>
  <si>
    <t>Secureframe &gt; Integrations &gt; Jira or Linear, using the bi-directional task integration.</t>
  </si>
  <si>
    <t>Overdue controls surface on their own. Nothing about CC1.5-04 should depend on somebody remembering to open Secureframe.</t>
  </si>
  <si>
    <t>Put the four events in a shared calendar</t>
  </si>
  <si>
    <t>Onboarding (triggered per hire), quarterly Committee report, annual acknowledgment and training cycle, annual assessment and policy review. Owner named on each.</t>
  </si>
  <si>
    <t>See the Calendar tab. If these four happen, CC1 has operated for the year — everything else is continuous and automated.</t>
  </si>
  <si>
    <t>All CC1, CC2.2-05</t>
  </si>
  <si>
    <t>Praveen/Teja</t>
  </si>
  <si>
    <t>Need 2 emails</t>
  </si>
  <si>
    <t>security@ and ethics@</t>
  </si>
  <si>
    <t>Need ethics at so that one email bypasses the Security Officer</t>
  </si>
  <si>
    <t>CC1.1-04, CC2.2-04, CC2.2-06, CC2.3-02</t>
  </si>
  <si>
    <t>Write the System Security Plan</t>
  </si>
  <si>
    <t>One document in the governance repo describing the system boundary, the environments in operation and the controls implemented. Six pages is enough at this size.</t>
  </si>
  <si>
    <t>It fixes the audit boundary before the auditor fixes it for you, and every other control inherits its scope from this document.</t>
  </si>
  <si>
    <t>Turn on cloud and identity audit logging</t>
  </si>
  <si>
    <t>Enable audit trails on every production AWS account and on the identity provider, and alert on any attempt to disable them.</t>
  </si>
  <si>
    <t>For a testing firm this is also how you prove what you did and did not touch inside a client environment.</t>
  </si>
  <si>
    <t>Amisha</t>
  </si>
  <si>
    <t>Classify the data stores in the asset inventory</t>
  </si>
  <si>
    <t>Record a classification against each repository and data store as an attribute of the asset, not in a second spreadsheet.</t>
  </si>
  <si>
    <t>Client testing evidence is the highest classification you hold. The scheme has to name it explicitly or handling rules do not reach it.</t>
  </si>
  <si>
    <t>Set the annual security objectives and baseline the metrics</t>
  </si>
  <si>
    <t>Four metrics is enough: control operating effectiveness, deficiencies open past date, training completion, vulnerability remediation time. Record this year's starting values.</t>
  </si>
  <si>
    <t>Metrics nobody reviews are worse than no metrics. Baselining now is what makes next year's number mean something.</t>
  </si>
  <si>
    <t>Publish the security contact externally</t>
  </si>
  <si>
    <t>Put the address on the website and add a security.txt file at the well-known path so a researcher can find it without asking.</t>
  </si>
  <si>
    <t>Being hard to report a vulnerability to is a poor look for a security firm specifically. Ten minutes of work.</t>
  </si>
  <si>
    <t>Madhur</t>
  </si>
  <si>
    <t>Build the customer commitments register</t>
  </si>
  <si>
    <t>One page listing every security promise made in a customer agreement, questionnaire or proposal, and the control that delivers it. Add a Security Officer review step to engagement intake.</t>
  </si>
  <si>
    <t>In a small company the person answering the security questionnaire is often the person selling. This is the control that catches a promise before it reaches a contract.</t>
  </si>
  <si>
    <t>CC2.3-01, CC2.3-05</t>
  </si>
  <si>
    <t>Uddyan?</t>
  </si>
  <si>
    <t>Publish the sub-processor list and the user entity controls</t>
  </si>
  <si>
    <t>Derive the sub-processor list from the vendor inventory rather than maintaining a second list, and write down the controls customers must operate themselves.</t>
  </si>
  <si>
    <t>The Privacy Policy already promises this list on request, so the promise exists whether or not the list does.</t>
  </si>
  <si>
    <t>CC2.3-03, CC2.3-06</t>
  </si>
  <si>
    <t>Configure the register to the POL-RSK-001 scales</t>
  </si>
  <si>
    <t>The methodology is already written: §7 gives the 1–5 likelihood and impact scales and the score as their product, §8 gives the reachability matrix that sets minimum likelihood, §9 gives the five treatment bands and due dates. Configure Secureframe so the score and the treatment due date are computed on those scales, not typed in.</t>
  </si>
  <si>
    <t>Nothing here needs new policy. The gap is that an approved methodology exists which no system currently applies, so scores would be entered by judgement and last year’s “high” would not equal this year’s.</t>
  </si>
  <si>
    <t>CC3.1-04, CC3.2-01</t>
  </si>
  <si>
    <t>Build the register to the §10 field list</t>
  </si>
  <si>
    <t>Secureframe &gt; Risk Register. POL-RSK-001 §10 names twelve required fields including inherent score, existing controls, residual score, owner, agreed date and review date, requires accepted risks recorded alongside treated ones, and forbids deletion — closed entries are marked closed with date and reason.</t>
  </si>
  <si>
    <t>Configuring the register to the policy before the first assessment is far cheaper than retrofitting fields to entries later, and deletion of entries would breach §10 outright.</t>
  </si>
  <si>
    <t>CC3.2-03, CC3.2-05, CC3.2-06</t>
  </si>
  <si>
    <t>Run the first assessment in the three sweeps the policy separates</t>
  </si>
  <si>
    <t>One pass over the entity (§6), one over vendors and subservice organisations including AWS assurance and concentration risk (§13), one over AI and agentic systems (§14). Enumerate AI risk against MITRE ATLAS as §14 requires, record the taxonomy version, and record categories assessed as not applicable rather than omitting them.</t>
  </si>
  <si>
    <t>The policy already mandates the three sweeps and the taxonomy. Running them ad hoc would produce an assessment that does not meet the Company’s own standard, which is worse than having no standard.</t>
  </si>
  <si>
    <t>CC3.2-02, CC3.2-04, CC3.2-07</t>
  </si>
  <si>
    <t>Complete the fraud section from §11</t>
  </si>
  <si>
    <t>Four company-specific fraud risks are already named in §11: suppression of assessment findings, falsification of timesheets and invoices, misrepresentation of qualifications or work performed, and misuse of privileged access to client systems. Add management override as the standing risk with the three compensating controls §11 names.</t>
  </si>
  <si>
    <t>The hardest content is written. What remains is stating in the assessment that two of the three compensating controls are performed by the CEO, who is the person the override risk concerns.</t>
  </si>
  <si>
    <t>CC3.3-01, CC3.3-02, CC3.3-03, CC3.3-04</t>
  </si>
  <si>
    <t>Put the §12 trigger list into intake</t>
  </si>
  <si>
    <t>POL-RSK-001 §12 lists seven significant-change triggers. Repeat them as one line in the engagement intake checklist and the vendor intake form, and open a governance-repo issue per trigger closed by the updated register entry — including the “assessed, no new risk” outcomes.</t>
  </si>
  <si>
    <t>A trigger list that lives only in a policy is not read at the moment a change happens. Intake is where the change originates and therefore where the trigger has to be met.</t>
  </si>
  <si>
    <t>CC3.4-01, CC3.4-02, CC3.4-03</t>
  </si>
  <si>
    <t>Close the three policy gaps CC3 found</t>
  </si>
  <si>
    <t>Three things no policy currently owns: a single register of legal, regulatory and contractual obligations (CC3.1-03); the objective each control serves, recorded on the control matrix (CC3.1-05); and named sources for threat and regulatory monitoring with an annual record of what changed (CC3.4-04). Add the nil-return line to POL-RSK-001 §17 while the policy is open.</t>
  </si>
  <si>
    <t>These are the only CC3 rows the policy library does not reach. Each is a clause or a column, not a project — but they will not close by themselves.</t>
  </si>
  <si>
    <t>CC3.1-03, CC3.1-05, CC3.3-04, CC3.4-04</t>
  </si>
  <si>
    <t>Choose one destination for every deficiency</t>
  </si>
  <si>
    <t>POL-ISP-001 §8 routes deficiencies to a plan of action, POL-CM-001 §12 to a deficiency log and POL-BCP-001 §13 to the risk register, while POL-VPM-001 §13 keeps its own finding population. Pick the POL-ISP-001 §8 plan of action, amend the other three to name it, and point every Secureframe and pipeline finding at it.</t>
  </si>
  <si>
    <t>This is the single most consequential fix in CC4. Until deficiencies land in one place, nobody can answer how many are open, and the population an auditor asks for cannot be produced from any one source.</t>
  </si>
  <si>
    <t>CC4.2-01, CC4.2-02, CC4.2-03</t>
  </si>
  <si>
    <t>Stand up the monthly evaluation cycle</t>
  </si>
  <si>
    <t>Two recurring items that each produce one dated note: the monthly scan against production infrastructure with dependency scanning in the pipeline, and the monthly review of alert dispositions recording date, reviewer, period covered and conclusion, as POL-LOG-001 §12 requires.</t>
  </si>
  <si>
    <t>These are the cheapest CC4.1 controls to run and the easiest to skip in a quiet month. A quiet month still needs its note — the note is the evidence.</t>
  </si>
  <si>
    <t>CC4.1-03, CC4.1-04</t>
  </si>
  <si>
    <t>Stand up the quarterly evaluation cycle</t>
  </si>
  <si>
    <t>Access reviews across the boundary systems with a complete population and a decision per entitlement reconciled to reviews due (POL-AC-001 §12); the change population reviewed for missing approvers, self-approvals, direct production changes and emergency frequency (POL-CM-001 §12); and both folded into the existing quarterly report.</t>
  </si>
  <si>
    <t>The reconciliation is what makes an access review a control rather than a screenshot, and it is the element most often missing when an auditor samples.</t>
  </si>
  <si>
    <t>CC4.1-02, CC4.1-05, CC4.2-02</t>
  </si>
  <si>
    <t>Set the annual evaluations and the closure rule</t>
  </si>
  <si>
    <t>Diarise the control self-assessment signed by the CEO, the penetration test, the continuity exercise with RTO and RPO recorded, and the AWS assurance review with complementary user entity controls confirmed. Then add the closure rule: a deficiency closes only when the corrective action has been verified, and a missed evaluation is itself a deficiency.</t>
  </si>
  <si>
    <t>POL-BCP-001 §15 already treats a missed test as a deficiency and POL-VPM-001 §13 already requires verified remediation. Generalising both into POL-ISP-001 §8 closes CC4.2-04 and CC4.2-06 in one amendment.</t>
  </si>
  <si>
    <t>CC4.1-01, CC4.1-06, CC4.1-07, CC4.2-04, CC4.2-05, CC4.2-06</t>
  </si>
  <si>
    <t>Federate everything, then enforce the authenticators</t>
  </si>
  <si>
    <t>Make Google Workspace the single identity provider and move every application that can federate behind single sign-on. Enforce MFA for everyone with SMS and voice disabled, hardware keys or platform passkeys for privileged access, two authenticators per person, and the identity provider password settings matched to POL-PWD-001 §8.</t>
  </si>
  <si>
    <t>This is the structural decision the rest of CC6 rests on. Every system left outside single sign-on becomes a manual revocation step forever, and POL-PWD-001 §14 asks you to keep a list of exactly those.</t>
  </si>
  <si>
    <t>CC6.1-01, CC6.1-02, CC6.1-03</t>
  </si>
  <si>
    <t>Define baseline roles and the access request record</t>
  </si>
  <si>
    <t>One baseline permission set per position, so access is never granted by copying an existing user. A ticket type capturing requester, access sought, business justification, approver and date. Production, customer data, identity provider and security tooling stay outside every baseline and need separate Security Officer approval.</t>
  </si>
  <si>
    <t>POL-AC-001 §7 prohibits copying an existing user by name, because copied access propagates entitlements nobody has reviewed. That prohibition only works if there is a defined role to grant instead.</t>
  </si>
  <si>
    <t>CC6.1-04, CC6.2-01, CC6.2-02</t>
  </si>
  <si>
    <t>Build the leaver path and its population</t>
  </si>
  <si>
    <t>Select the HRIS still outstanding at step 1 and connect it, so a complete joiner, mover and leaver population exists. Suspend the identity provider account first and keep the timestamp. Maintain the list of systems that do not federate — cloud console, repositories, password manager, model and AI service accounts, client access — and give every contractor identity an engagement end date.</t>
  </si>
  <si>
    <t>Revocation timeliness is tested against the population, not against individual records. Without the HRIS there is no authoritative population, and CC6.2-04 and CC6.8-01 both stall at 1 however well the work is done.</t>
  </si>
  <si>
    <t>CC6.2-03, CC6.2-04</t>
  </si>
  <si>
    <t>Inventory the identities nobody thinks of as users</t>
  </si>
  <si>
    <t>Every service account and agent inventoried with a named human owner, purpose, reachable scope and last review date; dedicated least-privilege identities with no wildcard permissions; a human approval gate before any irreversible or production-affecting action. Put break-glass credentials in the password manager under hardware MFA, known to two people, alerting on use and tested annually.</t>
  </si>
  <si>
    <t>POL-AC-001 §11 is one of the strongest clauses in the library and none of it operates yet. At two people, break-glass known to only one person is a continuity risk as much as an access one.</t>
  </si>
  <si>
    <t>CC6.3-02, CC6.3-03, CC6.3-04</t>
  </si>
  <si>
    <t>Turn on the account-level guardrails</t>
  </si>
  <si>
    <t>Account-level public access blocks with alerting on public exposure; encryption enabled by default across storage, databases, backups and snapshots with customer-managed keys for the sensitive stores; secret scanning with push protection on every repository; endpoint detection with tamper protection on every enrolled device; and third-party application access to the identity provider restricted by allow-list.</t>
  </si>
  <si>
    <t>Each of these prevents rather than detects, and each is cheaper to enable now than to retrofit. Push protection in particular stops the most common serious incident at this size before it has any history to scan.</t>
  </si>
  <si>
    <t>CC6.6-01, CC6.7-02, CC6.7-03, CC6.8-01, CC6.8-03</t>
  </si>
  <si>
    <t>Close the CC5 and CC6 documentation gaps</t>
  </si>
  <si>
    <t>Three amendments and one artifact: require the network diagram in POL-NET-001 §5 with an owner and an annual review, because §14 lists it as evidence but no clause creates it; add a control-type field so an area covered only by detection is visible; and stand up the disposal register at POL-DRD-001 §15, which is retained six years and exempt from the disposal it records.</t>
  </si>
  <si>
    <t>CC6.6-03 is the only 0 on the CC6 tab and it is a one-clause fix. The other two are single fields that are far cheaper to add before the register and matrix are populated than afterwards.</t>
  </si>
  <si>
    <t>CC5.1-02, CC6.5-03, CC6.6-03</t>
  </si>
  <si>
    <t>Turn on logging to the POL-LOG-001 standard</t>
  </si>
  <si>
    <t>Audit logging on every production account and the identity provider, capturing what occurred, when, where, the source and the identity, with clocks synchronised. Retention set to thirteen months with ninety days queryable, log access restricted and itself logged, and privileged users unable to alter their own logs.</t>
  </si>
  <si>
    <t>Thirteen months is chosen so retention outlasts a twelve-month observation window. Set it at creation — retention cannot be applied retrospectively to logs that were never kept.</t>
  </si>
  <si>
    <t>CC7.2-01, CC7.2-02</t>
  </si>
  <si>
    <t>Configure alerting and prove the alert population</t>
  </si>
  <si>
    <t>Alerts for repeated authentication failures, privilege escalation, disabling of security controls or logging, anomalous administrative activity and tool detections, routed to one monitored channel that pages for high severity. Then confirm you can export the complete alert population for a period with the disposition of each.</t>
  </si>
  <si>
    <t>The population including dismissed alerts is the CC7.3 artifact most often unavailable, because tooling shows open alerts by default and closed ones age out of view.</t>
  </si>
  <si>
    <t>CC7.2-03, CC7.3-03</t>
  </si>
  <si>
    <t>Make the agents observable and evaluate them before release</t>
  </si>
  <si>
    <t>A dedicated identity per agent so its activity is distinguishable in logs; logging of the triggering input, tools invoked, parameters, actions taken and approvals at human gates; alerting on tools outside the allow-list. Then the evaluation and adversarial testing POL-VPM-001 §11 requires before release and on significant change.</t>
  </si>
  <si>
    <t>Without the triggering input recorded, a prompt injection incident cannot be reconstructed — the action is visible but its cause is not. A scanner will never report this class of weakness.</t>
  </si>
  <si>
    <t>CC7.1-04, CC7.2-04, CC7.4-05</t>
  </si>
  <si>
    <t>Open the incident register and reconcile the role model to headcount</t>
  </si>
  <si>
    <t>One register entry per evaluated event, including events that do not become incidents, with severity and the reasoning recorded. Then resolve POL-IRP-001 §6: it assumes fifteen to twenty people and needs four roles, with the incident lead and communications lead required to be different people at Severity One.</t>
  </si>
  <si>
    <t>The register is straightforward. The role model is not — at current headcount the structure cannot be staffed, and a policy asserting a capability the Company does not have is a worse audit position than a stated limit.</t>
  </si>
  <si>
    <t>CC7.3-01, CC7.3-02, CC7.4-01, CC7.4-02</t>
  </si>
  <si>
    <t>Extract the notification obligations and book the annual exercise</t>
  </si>
  <si>
    <t>One page listing, per customer agreement, the shortest applicable notification period and the trigger that starts it. Then a single tabletop covering both the incident plan and the continuity plan, verifying the contact list, the notification extract and the escalation paths while everyone is in the room.</t>
  </si>
  <si>
    <t>The notification clock is contractual and starts before the Company understands what happened. In a year with no incidents the exercise is the only evidence either plan works.</t>
  </si>
  <si>
    <t>CC7.4-04, CC7.5-04</t>
  </si>
  <si>
    <t>Make the pipeline the authoritative change population</t>
  </si>
  <si>
    <t>Branch protection requiring a pull request, an approving review from a non-author and passing checks; deployment automated so the record is a by-product; prompts, tool definitions and guardrail settings held in the same repository. Then confirm the deployment export reconciles to the merge history.</t>
  </si>
  <si>
    <t>CC8.1 is tested on whether the complete set of changes can be produced and each one traced, not on whether changes were approved. An assembled list cannot be shown to be complete.</t>
  </si>
  <si>
    <t>CC8.1-04, CC8.1-05, CC8.1-07</t>
  </si>
  <si>
    <t>Do the business impact analysis and name the alternate</t>
  </si>
  <si>
    <t>Critical activities, what each depends on, criticality ratings and the recovery objectives that follow — and, per POL-BCP-001 §5, whether more than one person can perform each activity. Designate the Security Officer alternate with break-glass access, and test backup restoration by restoring actual data.</t>
  </si>
  <si>
    <t>At two people the unavailability of one person is not a probability, it is the standing condition. The alternate is the CEO; writing that down costs nothing and closes open risk item 8.</t>
  </si>
  <si>
    <t>CC9.1-01, CC9.1-03, CC9.1-04</t>
  </si>
  <si>
    <t>Build the vendor inventory and review the attestations</t>
  </si>
  <si>
    <t>Vendors tiered by criticality and data sensitivity, with the sub-processor list derived from the same inventory. Then a dated review per Critical and High vendor recording period, opinion and exceptions, with complementary user entity controls assigned owners and confirmed as operating — including AWS.</t>
  </si>
  <si>
    <t>Obtaining a report is not a control. Reading it and acting on what falls to the Company is, and three separate rows now depend on the same AWS review, so perform it once and reference it.</t>
  </si>
  <si>
    <t>CC9.2-01, CC9.2-02, CC9.2-03, CC9.2-04</t>
  </si>
  <si>
    <t>Governance Decisions Log</t>
  </si>
  <si>
    <t>Satisfies CC1.2-02 (decisions recorded with date and decider), CC1.3-04 (delegations documented), CC2.3-05 (security commitments reviewed before they are made) and CC3.2-06 (risk acceptances recorded with rationale and expiry). One line per decision, written the same day. Record the control reference so a decision traces back to the row it affects. For a risk acceptance put the register entry identifier in the Reference column; for a commitment put the customer, questionnaire or proposal; for a sub-processor change put the vendor and the date customers were notified. POL-RSK-001 §16 requires written Steering Committee acceptance, rationale, compensating controls and a review date no more than twelve months ahead for any residual score of 12 or above; below that the Security Officer accepts under §9 and those decisions belong in this log too.</t>
  </si>
  <si>
    <t>Date</t>
  </si>
  <si>
    <t>Type</t>
  </si>
  <si>
    <t>Decision</t>
  </si>
  <si>
    <t>Rationale</t>
  </si>
  <si>
    <t>Decided by</t>
  </si>
  <si>
    <t>Reference</t>
  </si>
  <si>
    <t>Review / expiry</t>
  </si>
  <si>
    <t>Control ref</t>
  </si>
  <si>
    <t>2026-08-05</t>
  </si>
  <si>
    <t>Policy approval</t>
  </si>
  <si>
    <t>Approved POL-PRIV-001 Privacy Policy v1.0 for publication on the Company website.</t>
  </si>
  <si>
    <t>Privacy notice required before EU customer onboarding; SOC 2 Privacy category prepared but not added to scope this period.</t>
  </si>
  <si>
    <t>Madhuri Chandoor (CEO)</t>
  </si>
  <si>
    <t>PR #14, governance repo</t>
  </si>
  <si>
    <t>2027-08-05</t>
  </si>
  <si>
    <t>CC1.2-02, CC2.2-01</t>
  </si>
  <si>
    <t>← EXAMPLE ROW — delete before use</t>
  </si>
  <si>
    <t>The recurring events, the triggers, and what runs continuously</t>
  </si>
  <si>
    <t>The scheduled rows come first, then the rows that fire on an event rather than a date, then what runs continuously and needs no calendar entry. Between them every control on every Controls tab appears at least once in the Controls evidenced column — if these operate, the plan has operated for the year.</t>
  </si>
  <si>
    <t>Event</t>
  </si>
  <si>
    <t>When</t>
  </si>
  <si>
    <t>What is produced</t>
  </si>
  <si>
    <t>Controls evidenced</t>
  </si>
  <si>
    <t>Onboarding</t>
  </si>
  <si>
    <t>Within 5 days of start date</t>
  </si>
  <si>
    <t>Completed Secureframe onboarding record: policies accepted, training done, screening passed, access provisioned.</t>
  </si>
  <si>
    <t>CC1.1-02, CC1.1-06, CC1.4-02 to CC1.4-06, CC1.5-01, CC2.2-02, CC2.2-03, CC6.1-01 to CC6.1-05, CC6.2-01, CC6.2-02</t>
  </si>
  <si>
    <t>Monthly evaluation cycle</t>
  </si>
  <si>
    <t>Vulnerability scan records for production infrastructure with continuous dependency scanning in the pipeline, and a dated alert-disposition note recording reviewer, period covered and conclusion, supported by the complete alert population with the disposition of each. Findings triaged on exploitability in the actual environment with the criticality rationale recorded. A quiet month still produces a note.</t>
  </si>
  <si>
    <t>CC4.1-03, CC4.1-04, CC7.1-02, CC7.1-03, CC7.2-03, CC7.3-03</t>
  </si>
  <si>
    <t>Quarterly evaluation cycle</t>
  </si>
  <si>
    <t>Within 15 days of quarter end</t>
  </si>
  <si>
    <t>Access reviews across the boundary systems with a complete population, a decision per entitlement and a reconciliation to reviews due; the change population reviewed for missing approvers, self-approvals, direct production changes and emergency frequency; privileged, non-human and agentic identities reviewed in the same record; internet-exposed services enumerated against the inventory; endpoint protection coverage reconciled three ways; and connected applications reviewed against the allow-list.</t>
  </si>
  <si>
    <t>CC4.1-02, CC4.1-05, CC6.3-01, CC6.3-02, CC6.3-04, CC6.6-04, CC6.8-01, CC6.8-03, CC8.1-05, CC8.1-07, CC9.2-05</t>
  </si>
  <si>
    <t>Quarterly Committee report</t>
  </si>
  <si>
    <t>Q1–Q4, within 15 days of quarter end</t>
  </si>
  <si>
    <t>One written report: control status, open deficiencies with owners, severities and dates, overdue items escalated, repeat findings identified, training completion, risk treatment progress, unassigned asset owners cleared, and vulnerability service level performance.</t>
  </si>
  <si>
    <t>CC1.2-02, CC1.4-04, CC1.5-03, CC1.5-04, CC2.1-02, CC2.2-05, CC3.2-03, CC3.2-05, CC3.4-04, CC4.2-02, CC4.2-05, CC5.3-04, CC7.5-03</t>
  </si>
  <si>
    <t>Annual acknowledgment and training cycle</t>
  </si>
  <si>
    <t>Anniversary of policy approval</t>
  </si>
  <si>
    <t>Reset of policy acceptances and training in Secureframe; COI declarations collected; completion report to the Committee.</t>
  </si>
  <si>
    <t>CC1.1-02, CC1.1-03, CC1.4-04, CC1.5-01, CC2.2-01, CC2.2-03, CC6.4-03</t>
  </si>
  <si>
    <t>Annual risk assessment</t>
  </si>
  <si>
    <t>August each year, before the annual assessment</t>
  </si>
  <si>
    <t>Dated risk assessment covering the entity, vendors and sub-processors, and the AI and agentic components; fraud section included; risk register updated with inherent score, treatment, residual score and review date; treatment plans given owners and target dates; AWS assurance report reviewed with complementary user entity controls confirmed.</t>
  </si>
  <si>
    <t>CC3.1-02, CC3.2-01 to CC3.2-05, CC3.2-07, CC3.3-01 to CC3.3-04, CC4.1-07, CC6.4-02, CC9.1-01, CC9.2-01, CC9.2-03, CC9.2-04</t>
  </si>
  <si>
    <t>Annual assessment and policy review</t>
  </si>
  <si>
    <t>August each year</t>
  </si>
  <si>
    <t>Signed Annual Control Environment Assessment covering control effectiveness, segregation of duties, independence limitation, management override, org chart and role descriptions; advisor oversight memo if adopted; policy set reviewed and re-approved; data classification scheme reviewed; penetration test and continuity exercise completed with recovery objectives recorded; customer commitments and sub-processor list reviewed against controls in operation.</t>
  </si>
  <si>
    <t>CC1.1-01, CC1.2-01 to CC1.2-06, CC1.3-01 to CC1.3-05, CC1.4-01, CC1.5-02, CC2.1-01, CC2.1-03, CC2.1-05, CC2.3-01, CC2.3-03, CC2.3-06, CC3.1-01 to CC3.1-05, CC3.3-01 to CC3.3-03, CC3.4-04, CC4.1-01, CC4.1-06, CC5.1-01 to CC5.1-04, CC5.2-01, CC5.2-02, CC5.2-04, CC5.3-01, CC5.3-02, CC6.3-03, CC6.4-01, CC6.6-03, CC7.4-01, CC7.4-04, CC7.5-04, CC9.1-02, CC9.1-03, CC9.1-04</t>
  </si>
  <si>
    <t>TRIGGER — change to the system or the business</t>
  </si>
  <si>
    <t>Before the change goes live</t>
  </si>
  <si>
    <t>One governance-repo issue per trigger, closed by the updated risk register entry; System Security Plan and asset inventory updated where the boundary moved. “Assessed, no new risk” is a valid and necessary outcome to record.</t>
  </si>
  <si>
    <t>CC3.2-02, CC3.4-01, CC3.4-02, CC3.4-03, CC5.2-03, CC7.1-04, CC8.1-01, CC8.1-02, CC8.1-03, CC8.1-04, CC8.1-06</t>
  </si>
  <si>
    <t>TRIGGER — customer commitment or security questionnaire</t>
  </si>
  <si>
    <t>Before the commitment is given</t>
  </si>
  <si>
    <t>Security Officer review recorded against the questionnaire, proposal or contract clause; the commitments register updated with the promise and the control that delivers it; the decision logged in the Governance Log.</t>
  </si>
  <si>
    <t>TRIGGER — vendor or sub-processor onboarded or changed</t>
  </si>
  <si>
    <t>Before data is shared, and on material change</t>
  </si>
  <si>
    <t>Vendor risk rating and security requirements in the contract; sub-processor list regenerated from the vendor inventory; customers notified of material changes; complementary user entity controls restated.</t>
  </si>
  <si>
    <t>CC2.3-03, CC2.3-06, CC3.2-07, CC9.2-02</t>
  </si>
  <si>
    <t>TRIGGER — joiner, mover or leaver</t>
  </si>
  <si>
    <t>Within one business day of the change</t>
  </si>
  <si>
    <t>Identity provider account suspended first with the timestamp retained; non-federating access revoked against the maintained list including client-granted access; contractor end dates set at creation; Company data on personal devices wiped and confirmed by both parties; equipment returned and sanitised with the disposal recorded.</t>
  </si>
  <si>
    <t>CC6.2-03, CC6.2-04, CC6.5-01, CC6.5-02, CC6.5-03</t>
  </si>
  <si>
    <t>TRIGGER — engagement opened or closed</t>
  </si>
  <si>
    <t>At engagement start and close</t>
  </si>
  <si>
    <t>Client system access granted only under the engagement agreement, limited to the scope authorised in writing and recorded in the engagement file; at close, logical access relinquished and client badges and keys returned, both confirmed to the client in writing and retained.</t>
  </si>
  <si>
    <t>CC6.3-05, CC6.4-04</t>
  </si>
  <si>
    <t>TRIGGER — incident, weakness, conduct report, deficiency or exception</t>
  </si>
  <si>
    <t>On report or request</t>
  </si>
  <si>
    <t>Incident register entry and triage record; customer and regulatory notification against the matrix and its deadlines; conduct, fraud and delegation decisions recorded as labelled governance-repo issues and logged; every deficiency raised into the single plan of action with owner, severity and date, and verified before closure.</t>
  </si>
  <si>
    <t>CC1.1-05, CC1.2-02, CC1.3-04, CC1.5-05, CC2.2-04, CC2.3-04, CC3.2-06, CC3.3-04, CC4.2-01, CC4.2-03, CC4.2-04, CC4.2-06, CC5.3-03, CC7.3-01, CC7.3-02, CC7.3-04, CC7.4-02, CC7.4-03, CC7.4-05, CC7.5-01, CC7.5-02, CC9.1-05</t>
  </si>
  <si>
    <t>CONTINUOUS — no calendar entry</t>
  </si>
  <si>
    <t>Always on</t>
  </si>
  <si>
    <t>Published and monitored channels: security@, ethics@ bypassing the Security Officer, and the external security contact with security.txt. Cloud and identity audit logging with alerting on any attempt to disable it. Single sign-on with enforced multi-factor authentication and device-conditioned access; deny-by-default network controls behind the web application firewall; encryption in transit and at rest with secrets held in the managed service; and endpoint protection with restricted software installation.</t>
  </si>
  <si>
    <t>CC1.1-04, CC2.1-04, CC2.2-04, CC2.2-06, CC2.3-02, CC6.1-01 to CC6.1-05, CC6.6-01, CC6.6-02, CC6.7-01 to CC6.7-04, CC6.8-02, CC7.1-01, CC7.2-01, CC7.2-02, CC7.2-04</t>
  </si>
  <si>
    <t>Policy Mapping — documents to controls, and the converse</t>
  </si>
  <si>
    <t>Which document owns which control, and which controls each document owns. This is the source for POL-ISP-001 Annex A, which CC5.1-04 requires to map every criterion in scope to an owning document and a named control owner. The opposite direction — control to document — is already on each Controls tab at column N, and the reference lists in column H below carry every one of the 160 controls, so both directions are readable from here.</t>
  </si>
  <si>
    <t>DOCUMENT TO CONTROL</t>
  </si>
  <si>
    <t>Document</t>
  </si>
  <si>
    <t>Title</t>
  </si>
  <si>
    <t>Class</t>
  </si>
  <si>
    <t>Controls owned</t>
  </si>
  <si>
    <t>As primary owner</t>
  </si>
  <si>
    <t>Accountable role</t>
  </si>
  <si>
    <t>Criteria touched</t>
  </si>
  <si>
    <t>Control references</t>
  </si>
  <si>
    <t>POL-AC-001</t>
  </si>
  <si>
    <t>Access Control</t>
  </si>
  <si>
    <t>Policy</t>
  </si>
  <si>
    <t>Approved v1.0, 23 July 2026</t>
  </si>
  <si>
    <t>CC1.4, CC2.1, CC3.3, CC4.1, CC5.2, CC6.1, CC6.2, CC6.3, CC6.7</t>
  </si>
  <si>
    <t>CC1.4-02, CC2.1-02, CC3.3-02, CC4.1-02, CC5.2-01, CC5.2-02, CC6.1-01, CC6.1-02, CC6.1-03, CC6.1-04, CC6.1-05, CC6.2-01, CC6.2-02, CC6.2-03, CC6.2-04, CC6.3-01, CC6.3-02, CC6.3-03, CC6.3-04, CC6.3-05, CC6.7-04</t>
  </si>
  <si>
    <t>POL-AI-001</t>
  </si>
  <si>
    <t>AI Governance</t>
  </si>
  <si>
    <t>CC3.4, CC9.2</t>
  </si>
  <si>
    <t>CC3.4-04, CC9.2-04</t>
  </si>
  <si>
    <t>POL-AM-001</t>
  </si>
  <si>
    <t>Asset Management</t>
  </si>
  <si>
    <t>CC2.1, CC3.4, CC5.2, CC6.1, CC6.5, CC6.8, CC7.1, CC9.2</t>
  </si>
  <si>
    <t>CC2.1-02, CC3.4-03, CC5.2-01, CC6.1-05, CC6.5-01, CC6.5-03, CC6.8-01, CC6.8-02, CC6.8-03, CC7.1-02, CC9.2-05</t>
  </si>
  <si>
    <t>POL-AUP-001</t>
  </si>
  <si>
    <t>Acceptable Use</t>
  </si>
  <si>
    <t>Approved, but owns no control — resolve</t>
  </si>
  <si>
    <t>—</t>
  </si>
  <si>
    <t>None — see Status</t>
  </si>
  <si>
    <t>POL-BCP-001</t>
  </si>
  <si>
    <t>Business Continuity and Disaster Recovery</t>
  </si>
  <si>
    <t>CEO, Security Officer</t>
  </si>
  <si>
    <t>CC4.1, CC4.2, CC9.1</t>
  </si>
  <si>
    <t>CC4.1-06, CC4.2-03, CC4.2-06, CC9.1-01, CC9.1-02, CC9.1-03, CC9.1-04, CC9.1-05</t>
  </si>
  <si>
    <t>POL-CM-001</t>
  </si>
  <si>
    <t>Change Management</t>
  </si>
  <si>
    <t>CC3.4, CC4.1, CC4.2, CC5.2, CC8.1</t>
  </si>
  <si>
    <t>CC3.4-02, CC4.1-05, CC4.2-02, CC4.2-03, CC4.2-05, CC5.2-02, CC5.2-03, CC5.2-04, CC8.1-01, CC8.1-02, CC8.1-03, CC8.1-04, CC8.1-05, CC8.1-06, CC8.1-07</t>
  </si>
  <si>
    <t>POL-COC-001</t>
  </si>
  <si>
    <t>Code of Conduct</t>
  </si>
  <si>
    <t>CC1.1, CC1.4, CC1.5, CC2.2, CC3.1, CC3.3</t>
  </si>
  <si>
    <t>CC1.1-01, CC1.1-02, CC1.1-03, CC1.1-04, CC1.1-05, CC1.4-05, CC1.5-01, CC1.5-05, CC2.2-02, CC2.2-04, CC2.2-06, CC3.1-03, CC3.3-01, CC3.3-04</t>
  </si>
  <si>
    <t>POL-DCL-001</t>
  </si>
  <si>
    <t>Data Classification</t>
  </si>
  <si>
    <t>CC2.1, CC6.4, CC6.7</t>
  </si>
  <si>
    <t>CC2.1-03, CC6.4-03, CC6.7-01, CC6.7-02, CC6.7-04</t>
  </si>
  <si>
    <t>POL-DRD-001</t>
  </si>
  <si>
    <t>Data Retention and Disposal</t>
  </si>
  <si>
    <t>CC6.5-01, CC6.5-02, CC6.5-03</t>
  </si>
  <si>
    <t>POL-ENC-001</t>
  </si>
  <si>
    <t>Encryption</t>
  </si>
  <si>
    <t>CC6.7-01, CC6.7-02, CC6.7-03</t>
  </si>
  <si>
    <t>Human Resources Security</t>
  </si>
  <si>
    <t>CC1.1, CC1.3, CC1.4, CC1.5, CC2.2</t>
  </si>
  <si>
    <t>CC1.1-02, CC1.1-05, CC1.1-06, CC1.3-02, CC1.4-01, CC1.4-03, CC1.4-06, CC1.5-01, CC1.5-02, CC1.5-05, CC2.2-02</t>
  </si>
  <si>
    <t>POL-IRP-001</t>
  </si>
  <si>
    <t>Incident Response</t>
  </si>
  <si>
    <t>CC2.2, CC2.3, CC7.3, CC7.4, CC7.5</t>
  </si>
  <si>
    <t>CC2.2-04, CC2.3-02, CC2.3-04, CC7.3-01, CC7.3-02, CC7.3-03, CC7.3-04, CC7.4-01, CC7.4-02, CC7.4-03, CC7.4-04, CC7.4-05, CC7.5-01, CC7.5-02, CC7.5-03, CC7.5-04</t>
  </si>
  <si>
    <t>Information Security Policy</t>
  </si>
  <si>
    <t>CC1.1, CC1.2, CC1.3, CC1.5, CC2.1, CC2.2, CC2.3, CC3.1, CC3.3, CC3.4, CC4.1, CC4.2, CC5.1, CC5.2, CC5.3</t>
  </si>
  <si>
    <t>CC1.1-01, CC1.1-04, CC1.2-01, CC1.2-02, CC1.2-04, CC1.2-05, CC1.2-06, CC1.3-01, CC1.3-03, CC1.3-04, CC1.3-05, CC1.5-03, CC1.5-04, CC2.1-01, CC2.1-05, CC2.2-01, CC2.2-05, CC2.2-06, CC2.3-01, CC2.3-02, CC2.3-05, CC3.1-01, CC3.1-02, CC3.1-03, CC3.1-05, CC3.3-03, CC3.4-03, CC4.1-01, CC4.1-07, CC4.2-01, CC4.2-02, CC4.2-03, CC4.2-06, CC5.1-01, CC5.1-02, CC5.1-04, CC5.2-02, CC5.3-01, CC5.3-02, CC5.3-03, CC5.3-04</t>
  </si>
  <si>
    <t>POL-LOG-001</t>
  </si>
  <si>
    <t>Logging and Monitoring</t>
  </si>
  <si>
    <t>CC2.1, CC3.3, CC4.1, CC7.2, CC7.3, CC8.1</t>
  </si>
  <si>
    <t>CC2.1-04, CC3.3-02, CC4.1-04, CC7.2-01, CC7.2-02, CC7.2-03, CC7.2-04, CC7.3-03, CC8.1-06</t>
  </si>
  <si>
    <t>POL-NET-001</t>
  </si>
  <si>
    <t>Network Security</t>
  </si>
  <si>
    <t>CC5.2, CC6.1, CC6.3, CC6.6, CC6.7, CC7.1</t>
  </si>
  <si>
    <t>CC5.2-01, CC5.2-03, CC6.1-05, CC6.3-05, CC6.6-01, CC6.6-02, CC6.6-03, CC6.6-04, CC6.7-04, CC7.1-01</t>
  </si>
  <si>
    <t>POL-PHY-001</t>
  </si>
  <si>
    <t>Physical Security</t>
  </si>
  <si>
    <t>CC6.4, CC6.5, CC9.2</t>
  </si>
  <si>
    <t>CC6.4-01, CC6.4-02, CC6.4-03, CC6.4-04, CC6.5-01, CC9.2-03</t>
  </si>
  <si>
    <t>POL-PWD-001</t>
  </si>
  <si>
    <t>Password and Authentication</t>
  </si>
  <si>
    <t>CC6.1, CC6.3, CC6.7</t>
  </si>
  <si>
    <t>CC6.1-01, CC6.1-02, CC6.1-03, CC6.3-02, CC6.3-03, CC6.3-04, CC6.7-03</t>
  </si>
  <si>
    <t>POL-RSK-001</t>
  </si>
  <si>
    <t>Risk Management</t>
  </si>
  <si>
    <t>CC1.2, CC1.5, CC3.1, CC3.2, CC3.3, CC3.4, CC4.1, CC4.2, CC5.1, CC5.3, CC6.4, CC7.1, CC8.1, CC9.1</t>
  </si>
  <si>
    <t>CC1.2-03, CC1.5-04, CC3.1-01, CC3.1-02, CC3.1-04, CC3.2-01, CC3.2-02, CC3.2-03, CC3.2-04, CC3.2-05, CC3.2-06, CC3.2-07, CC3.3-01, CC3.3-02, CC3.3-03, CC3.3-04, CC3.4-01, CC3.4-02, CC3.4-03, CC3.4-04, CC4.1-01, CC4.1-07, CC4.2-04, CC5.1-01, CC5.1-02, CC5.1-03, CC5.3-03, CC6.4-02, CC7.1-03, CC8.1-02, CC9.1-04</t>
  </si>
  <si>
    <t>Security Awareness and Training</t>
  </si>
  <si>
    <t>CC1.4, CC2.2, CC7.5</t>
  </si>
  <si>
    <t>CC1.4-04, CC2.2-03, CC7.5-04</t>
  </si>
  <si>
    <t>POL-SDLC-001</t>
  </si>
  <si>
    <t>Secure SDLC</t>
  </si>
  <si>
    <t>POL-VM-001</t>
  </si>
  <si>
    <t>Vendor Management</t>
  </si>
  <si>
    <t>CC1.4, CC2.3, CC3.2, CC3.4, CC6.8, CC7.3, CC9.2</t>
  </si>
  <si>
    <t>CC1.4-06, CC2.3-01, CC2.3-03, CC2.3-06, CC3.2-07, CC3.4-04, CC6.8-03, CC7.3-04, CC9.2-01, CC9.2-02, CC9.2-03, CC9.2-04, CC9.2-05</t>
  </si>
  <si>
    <t>POL-VPM-001</t>
  </si>
  <si>
    <t>Vulnerability and Patch Management</t>
  </si>
  <si>
    <t>CC4.1, CC4.2, CC7.1, CC7.4</t>
  </si>
  <si>
    <t>CC4.1-03, CC4.2-02, CC4.2-04, CC4.2-05, CC7.1-02, CC7.1-03, CC7.1-04, CC7.4-05</t>
  </si>
  <si>
    <t>STD-CLD-001</t>
  </si>
  <si>
    <t>Cloud Platform Standard</t>
  </si>
  <si>
    <t>Standard</t>
  </si>
  <si>
    <t>CC5.3, CC7.1</t>
  </si>
  <si>
    <t>CC5.3-02, CC7.1-01</t>
  </si>
  <si>
    <t>STD-CRY-001</t>
  </si>
  <si>
    <t>Cryptography Standard</t>
  </si>
  <si>
    <t>STD-EPT-001</t>
  </si>
  <si>
    <t>Endpoint Standard</t>
  </si>
  <si>
    <t>CC1.4, CC5.3</t>
  </si>
  <si>
    <t>CC1.4-05, CC5.3-02</t>
  </si>
  <si>
    <t>STD-LOG-001</t>
  </si>
  <si>
    <t>Logging Standard AND Cloud Logging — duplicate identifier</t>
  </si>
  <si>
    <t>Duplicate identifier — two documents share it</t>
  </si>
  <si>
    <t>CC5.3, CC7.2</t>
  </si>
  <si>
    <t>CC5.3-02, CC7.2-01</t>
  </si>
  <si>
    <t>FRM-CE-001</t>
  </si>
  <si>
    <t>Annual Control Environment Assessment form</t>
  </si>
  <si>
    <t>Form</t>
  </si>
  <si>
    <t>Not supplied — referenced by POL-ISP-001 §8</t>
  </si>
  <si>
    <t>CC1.2, CC1.3, CC3.3</t>
  </si>
  <si>
    <t>CC1.2-04, CC1.2-05, CC1.3-05, CC3.3-03</t>
  </si>
  <si>
    <t>POL-COI-001</t>
  </si>
  <si>
    <t>Conflict of Interest Policy</t>
  </si>
  <si>
    <t>Does not exist — conflicts of interest are POL-COC-001 §7</t>
  </si>
  <si>
    <t>POL-PRIV-001</t>
  </si>
  <si>
    <t>Privacy Policy</t>
  </si>
  <si>
    <t>Not in the controlled library — see risk CMP-003</t>
  </si>
  <si>
    <t>CC2.3-03, CC2.3-04</t>
  </si>
  <si>
    <t>STD-SCR-001</t>
  </si>
  <si>
    <t>Screening Standard</t>
  </si>
  <si>
    <t>Does not exist — to be created, see risk HR-001</t>
  </si>
  <si>
    <t>CC1.1, CC1.4</t>
  </si>
  <si>
    <t>CC1.1-06, CC1.4-02</t>
  </si>
  <si>
    <t>AI AND AGENTIC CLAUSES</t>
  </si>
  <si>
    <t>Governing clause</t>
  </si>
  <si>
    <t>POL-RSK-001 §14 — MITRE ATLAS enumeration, OWASP LLM Top 10, NIST Generative AI Profile</t>
  </si>
  <si>
    <t>POL-AI-001 §19 — EU AI Act monitored for applicability</t>
  </si>
  <si>
    <t>POL-AC-001 §11 — agentic identities, no wildcard permissions, human approval gate</t>
  </si>
  <si>
    <t>POL-ENC-001 §7 — vector stores, embedding indexes and retained prompts encrypted as their source</t>
  </si>
  <si>
    <t>POL-PWD-001 §12 / POL-ENC-001 §9 — no credentials in prompts, system instructions or agent configuration</t>
  </si>
  <si>
    <t>POL-NET-001 §10 — agent egress allow-listed; rendered model output may not call arbitrary destinations</t>
  </si>
  <si>
    <t>POL-VPM-001 §11 — prompt injection, insecure output handling, excessive agent permissions</t>
  </si>
  <si>
    <t>POL-LOG-001 §10, §11 — triggering input, tools invoked, approvals; no reliance on provider logging</t>
  </si>
  <si>
    <t>POL-IRP-001 §10 — AI events are incidents; first containment is to pause the agent</t>
  </si>
  <si>
    <t>POL-CM-001 §11 — prompts and tool definitions are production changes; an agent may not deploy</t>
  </si>
  <si>
    <t>POL-VM-001 §10 — training use, retention, contract tier; zero-retention evidenced twice</t>
  </si>
  <si>
    <t>GAPS — BOTH DIRECTIONS</t>
  </si>
  <si>
    <t>Direction</t>
  </si>
  <si>
    <t>Item</t>
  </si>
  <si>
    <t>Accountable</t>
  </si>
  <si>
    <t>What is wrong</t>
  </si>
  <si>
    <t>Action</t>
  </si>
  <si>
    <t>Control side</t>
  </si>
  <si>
    <t>Partly addressed — a clause is missing</t>
  </si>
  <si>
    <t>Owning document does not exist: POL-COI-001  ·  No policy or plan addresses this control</t>
  </si>
  <si>
    <t>No policy or plan addresses this control</t>
  </si>
  <si>
    <t>Owning document does not exist: STD-SCR-001</t>
  </si>
  <si>
    <t>Owning document does not exist: FRM-CE-001  ·  Partly addressed — a clause is missing</t>
  </si>
  <si>
    <t>Owning document does not exist: FRM-CE-001  ·  No policy or plan addresses this control</t>
  </si>
  <si>
    <t>Owning document does not exist: POL-PRIV-001  ·  Partly addressed — a clause is missing</t>
  </si>
  <si>
    <t>Owning document does not exist: POL-PRIV-001</t>
  </si>
  <si>
    <t>Owning document does not exist: FRM-CE-001</t>
  </si>
  <si>
    <t>Document side</t>
  </si>
  <si>
    <t>Approved and in the library, but owns no control</t>
  </si>
  <si>
    <t>Map it to the controls it should own, or establish whether it is redundant against POL-COC-001. Acceptable use plausibly belongs on CC1.1, CC6.7-04 and CC6.8-02.</t>
  </si>
  <si>
    <t>Two different approved documents share this identifier: Cloud Logging and Logging Standard</t>
  </si>
  <si>
    <t>Reissue one under a new identifier. Annex A cannot record one identifier at one version when two documents carry it.</t>
  </si>
  <si>
    <t>Referenced by four controls; not supplied with the library</t>
  </si>
  <si>
    <t>Produce the Annual Control Environment Assessment form, or amend POL-ISP-001 §8 to name the artifact that replaces it. Affects CC1.2-04, CC1.2-05, CC1.3-05 and CC3.3-03.</t>
  </si>
  <si>
    <t>Referenced by CC1.1-03; does not exist</t>
  </si>
  <si>
    <t>Remove the reference. Conflicts of interest are governed by POL-COC-001 §7, which is adequate.</t>
  </si>
  <si>
    <t>Referenced by CC2.3-03 and CC2.3-04; not in the controlled library</t>
  </si>
  <si>
    <t>Establish whether it exists. If published, bring it under document control and record it in Annex A. If not, state the notification periods in POL-IRP-001 §11 directly. Risk CMP-003.</t>
  </si>
  <si>
    <t>Referenced by CC1.1-06 and CC1.4-02; does not exist</t>
  </si>
  <si>
    <t>Create it, recording the checks applied per role tier, and add the contractor equivalence statement to POL-HRS-001. Risk HR-001.</t>
  </si>
  <si>
    <t>POL-ISP-001 Annex A</t>
  </si>
  <si>
    <t>CC5.1-04 requires a named control owner per criterion. The workbook assigns a role, not a person</t>
  </si>
  <si>
    <t>Record a named individual against each control on the control matrix. A role name stops being sufficient once more than one person holds the role.</t>
  </si>
  <si>
    <t>CONTROL OWNERSHIP</t>
  </si>
  <si>
    <t>CC1.1-01, CC1.1-03, CC1.1-04, CC1.1-05, CC1.1-06</t>
  </si>
  <si>
    <t>CC1.2-02, CC1.2-04, CC1.2-05, CC1.2-06</t>
  </si>
  <si>
    <t>CC1.3-01, CC1.3-02, CC1.3-04</t>
  </si>
  <si>
    <t>CC1.5-02, CC1.5-05</t>
  </si>
  <si>
    <t>CC2.3-01, CC2.3-04</t>
  </si>
  <si>
    <t>CC3.1-01, CC3.1-03, CC3.1-04</t>
  </si>
  <si>
    <t>CC3.3-01, CC3.3-03, CC3.3-04</t>
  </si>
  <si>
    <t>CC5.3-01, CC5.3-03</t>
  </si>
  <si>
    <t>CC7.4-01, CC7.4-04</t>
  </si>
  <si>
    <t>CC9.1-04, CC9.1-05</t>
  </si>
  <si>
    <t>CC1.2-01, CC1.2-03</t>
  </si>
  <si>
    <t>CC1.3-03, CC1.3-05</t>
  </si>
  <si>
    <t>CC1.4-02, CC1.4-03, CC1.4-04, CC1.4-05, CC1.4-06</t>
  </si>
  <si>
    <t>CC1.5-01, CC1.5-03, CC1.5-04</t>
  </si>
  <si>
    <t>CC2.1-01, CC2.1-02, CC2.1-03, CC2.1-04</t>
  </si>
  <si>
    <t>CC2.2-01, CC2.2-02, CC2.2-03, CC2.2-04, CC2.2-05</t>
  </si>
  <si>
    <t>CC2.3-02, CC2.3-03, CC2.3-05, CC2.3-06</t>
  </si>
  <si>
    <t>CC3.1-02, CC3.1-05</t>
  </si>
  <si>
    <t>CC3.2-01, CC3.2-02, CC3.2-03, CC3.2-04, CC3.2-05, CC3.2-07</t>
  </si>
  <si>
    <t>CC3.4-01, CC3.4-02, CC3.4-03, CC3.4-04</t>
  </si>
  <si>
    <t>CC4.1-01, CC4.1-02, CC4.1-03, CC4.1-04, CC4.1-05, CC4.1-06</t>
  </si>
  <si>
    <t>CC4.2-01, CC4.2-02, CC4.2-03, CC4.2-04, CC4.2-05, CC4.2-06</t>
  </si>
  <si>
    <t>CC5.1-01, CC5.1-02, CC5.1-03, CC5.1-04</t>
  </si>
  <si>
    <t>CC5.2-01, CC5.2-02, CC5.2-03, CC5.2-04</t>
  </si>
  <si>
    <t>CC5.3-02, CC5.3-04</t>
  </si>
  <si>
    <t>CC6.1-01, CC6.1-02, CC6.1-03, CC6.1-04, CC6.1-05</t>
  </si>
  <si>
    <t>CC6.2-01, CC6.2-02, CC6.2-03, CC6.2-04</t>
  </si>
  <si>
    <t>CC6.3-01, CC6.3-02, CC6.3-03, CC6.3-04, CC6.3-05</t>
  </si>
  <si>
    <t>CC6.4-02, CC6.4-03, CC6.4-04</t>
  </si>
  <si>
    <t>CC6.6-01, CC6.6-02, CC6.6-03, CC6.6-04</t>
  </si>
  <si>
    <t>CC6.7-01, CC6.7-02, CC6.7-03, CC6.7-04</t>
  </si>
  <si>
    <t>CC6.8-01, CC6.8-02, CC6.8-03</t>
  </si>
  <si>
    <t>CC7.1-01, CC7.1-02, CC7.1-03, CC7.1-04</t>
  </si>
  <si>
    <t>CC7.2-01, CC7.2-02, CC7.2-03, CC7.2-04</t>
  </si>
  <si>
    <t>CC7.3-01, CC7.3-02, CC7.3-03, CC7.3-04</t>
  </si>
  <si>
    <t>CC7.4-02, CC7.4-03, CC7.4-05</t>
  </si>
  <si>
    <t>CC7.5-01, CC7.5-02, CC7.5-03, CC7.5-04</t>
  </si>
  <si>
    <t>CC8.1-01, CC8.1-02, CC8.1-03, CC8.1-04, CC8.1-05, CC8.1-06, CC8.1-07</t>
  </si>
  <si>
    <t>CC9.1-01, CC9.1-02, CC9.1-03</t>
  </si>
  <si>
    <t>CC9.2-01, CC9.2-02, CC9.2-03, CC9.2-04, CC9.2-05</t>
  </si>
  <si>
    <t>WHAT THE MAPPING SHOWS</t>
  </si>
  <si>
    <t>Concentration</t>
  </si>
  <si>
    <t>POL-ISP-001 touches 41 controls and POL-RSK-001 touches 31 — a quarter of the estate in two documents. Worth knowing before either goes out for revision, because a change to POL-ISP-001 §8 moves 41 rows.</t>
  </si>
  <si>
    <t>AI governance</t>
  </si>
  <si>
    <t>POL-AI-001 is primary owner of nothing and touches only two controls. The substantive agentic controls sit in nine other policies — POL-AC-001 §11, POL-LOG-001 §10 and §11, POL-CM-001 §11, POL-VM-001 §10 and POL-VPM-001 §11 among them. That distribution is correct, because agentic risk is an access, logging, change and vendor problem before it is an AI problem. But anyone assessing AI governance by reading POL-AI-001 alone will conclude the Company has almost none, which is why the clause list above exists.</t>
  </si>
  <si>
    <t>Orphan</t>
  </si>
  <si>
    <t>POL-AUP-001 is approved, in the library, and owns no control. Acceptable use plausibly belongs on CC1.1, CC6.7-04 and CC6.8-02. Either map it or establish whether it is redundant against POL-COC-001.</t>
  </si>
  <si>
    <t>Duplicate identifier</t>
  </si>
  <si>
    <t>STD-LOG-001 is carried by two different approved documents, Cloud Logging and Logging Standard. Annex A cannot record one identifier at one version when two documents share it. This belongs on the risk register alongside CMP-004.</t>
  </si>
  <si>
    <t>Documents that do not exist</t>
  </si>
  <si>
    <t>Nine controls trace to a document that cannot be produced: FRM-CE-001 on four, POL-PRIV-001 and STD-SCR-001 on two each, POL-COI-001 on one. Until each is created or the reference is corrected, Annex A cannot be reconciled and CC5.1-04 cannot be met.</t>
  </si>
  <si>
    <t>Two counts, two questions</t>
  </si>
  <si>
    <t>Controls owned counts every mention; as primary owner counts only where the document is named first. The gap between them is where a policy does real work without being the headline owner — POL-PWD-001 is primary on two and touches seven, POL-AM-001 is primary on four and touches eleven.</t>
  </si>
  <si>
    <t>Ownership</t>
  </si>
  <si>
    <t>Every control has an accountable role: 126 sit with the Security Officer and 34 with the CEO. That concentration is unavoidable at two people and is already carried on the register as GOV-001 and GOV-002. What is not yet satisfied is CC5.1-04, which requires Annex A to name a control owner — a role is not a name, and the distinction starts to matter at the first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</si>
</sst>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dd\-mmm\-yyyy"/>
    <numFmt numFmtId="167" formatCode="0.0"/>
  </numFmts>
  <fonts count="57" x14ac:knownFonts="1">
    <font>
      <sz val="11"/>
      <color theme="1"/>
      <name val="Calibri"/>
      <family val="2"/>
      <charset val="1"/>
    </font>
    <font>
      <b/>
      <sz val="16"/>
      <color rgb="FF1B4965"/>
      <name val="Calibri"/>
      <family val="2"/>
    </font>
    <font>
      <i/>
      <sz val="10"/>
      <color rgb="FF595959"/>
      <name val="Calibri"/>
      <family val="2"/>
    </font>
    <font>
      <sz val="10"/>
      <name val="Calibri"/>
      <family val="2"/>
    </font>
    <font>
      <b/>
      <sz val="14"/>
      <color rgb="FF1B4965"/>
      <name val="Calibri"/>
      <family val="2"/>
    </font>
    <font>
      <b/>
      <sz val="10"/>
      <color rgb="FFFFFFFF"/>
      <name val="Calibri"/>
      <family val="2"/>
    </font>
    <font>
      <i/>
      <sz val="10"/>
      <color rgb="FF7F7F7F"/>
      <name val="Calibri"/>
      <family val="2"/>
    </font>
    <font>
      <i/>
      <sz val="9"/>
      <color rgb="FFC00000"/>
      <name val="Calibri"/>
      <family val="2"/>
    </font>
    <font>
      <b/>
      <sz val="13"/>
      <color rgb="FF1B4965"/>
      <name val="Calibri"/>
      <family val="2"/>
    </font>
    <font>
      <sz val="13"/>
      <color theme="1"/>
      <name val="Calibri"/>
      <family val="2"/>
    </font>
    <font>
      <i/>
      <sz val="13"/>
      <color rgb="FF595959"/>
      <name val="Calibri"/>
      <family val="2"/>
    </font>
    <font>
      <b/>
      <sz val="13"/>
      <name val="Calibri"/>
      <family val="2"/>
    </font>
    <font>
      <sz val="13"/>
      <name val="Calibri"/>
      <family val="2"/>
    </font>
    <font>
      <b/>
      <sz val="13"/>
      <color rgb="FF5A5A5A"/>
      <name val="Calibri"/>
      <family val="2"/>
    </font>
    <font>
      <b/>
      <sz val="13"/>
      <color rgb="FF7A2E28"/>
      <name val="Calibri"/>
      <family val="2"/>
    </font>
    <font>
      <b/>
      <sz val="13"/>
      <color rgb="FF7A4A12"/>
      <name val="Calibri"/>
      <family val="2"/>
    </font>
    <font>
      <b/>
      <sz val="13"/>
      <color rgb="FF6B5A10"/>
      <name val="Calibri"/>
      <family val="2"/>
    </font>
    <font>
      <b/>
      <sz val="13"/>
      <color rgb="FF2E5A2A"/>
      <name val="Calibri"/>
      <family val="2"/>
    </font>
    <font>
      <b/>
      <sz val="13"/>
      <color rgb="FF14503C"/>
      <name val="Calibri"/>
      <family val="2"/>
    </font>
    <font>
      <sz val="13"/>
      <color rgb="FF7A2E28"/>
      <name val="Calibri"/>
      <family val="2"/>
    </font>
    <font>
      <sz val="13"/>
      <color rgb="FF7A4A12"/>
      <name val="Calibri"/>
      <family val="2"/>
    </font>
    <font>
      <sz val="13"/>
      <color rgb="FF6B5A10"/>
      <name val="Calibri"/>
      <family val="2"/>
    </font>
    <font>
      <sz val="13"/>
      <color rgb="FF2E5A2A"/>
      <name val="Calibri"/>
      <family val="2"/>
    </font>
    <font>
      <sz val="13"/>
      <color rgb="FF14503C"/>
      <name val="Calibri"/>
      <family val="2"/>
    </font>
    <font>
      <sz val="13"/>
      <color rgb="FF5A5A5A"/>
      <name val="Calibri"/>
      <family val="2"/>
    </font>
    <font>
      <b/>
      <sz val="13"/>
      <color rgb="FFFFFFFF"/>
      <name val="Calibri"/>
      <family val="2"/>
    </font>
    <font>
      <sz val="14"/>
      <color theme="1"/>
      <name val="Calibri"/>
      <family val="2"/>
    </font>
    <font>
      <i/>
      <sz val="14"/>
      <color rgb="FF595959"/>
      <name val="Calibri"/>
      <family val="2"/>
    </font>
    <font>
      <b/>
      <sz val="14"/>
      <color rgb="FFFFFFFF"/>
      <name val="Calibri"/>
      <family val="2"/>
    </font>
    <font>
      <b/>
      <sz val="14"/>
      <name val="Calibri"/>
      <family val="2"/>
    </font>
    <font>
      <sz val="14"/>
      <name val="Calibri"/>
      <family val="2"/>
    </font>
    <font>
      <i/>
      <sz val="14"/>
      <color rgb="FF4A6572"/>
      <name val="Calibri"/>
      <family val="2"/>
    </font>
    <font>
      <sz val="16"/>
      <color theme="1"/>
      <name val="Calibri"/>
      <family val="2"/>
    </font>
    <font>
      <b/>
      <sz val="16"/>
      <color rgb="FFFFFFFF"/>
      <name val="Calibri"/>
      <family val="2"/>
    </font>
    <font>
      <sz val="16"/>
      <name val="Calibri"/>
      <family val="2"/>
    </font>
    <font>
      <b/>
      <sz val="20"/>
      <color rgb="FF1B4965"/>
      <name val="Calibri"/>
      <family val="2"/>
    </font>
    <font>
      <sz val="20"/>
      <name val="Calibri"/>
      <family val="2"/>
    </font>
    <font>
      <sz val="13"/>
      <color rgb="FFFF0000"/>
      <name val="Calibri"/>
      <family val="2"/>
    </font>
    <font>
      <sz val="14"/>
      <color theme="9" tint="-0.499984740745262"/>
      <name val="Calibri"/>
      <family val="2"/>
    </font>
    <font>
      <sz val="12"/>
      <color theme="1"/>
      <name val="Calibri"/>
      <family val="2"/>
      <charset val="1"/>
    </font>
    <font>
      <b/>
      <sz val="14"/>
      <name val="Calibri"/>
      <family val="2"/>
    </font>
    <font>
      <i/>
      <sz val="14"/>
      <color rgb="FF595959"/>
      <name val="Calibri"/>
      <family val="2"/>
    </font>
    <font>
      <b/>
      <sz val="13"/>
      <color rgb="FF1B4965"/>
      <name val="Calibri"/>
      <family val="2"/>
    </font>
    <font>
      <sz val="13"/>
      <color rgb="FF595959"/>
      <name val="Calibri"/>
      <family val="2"/>
    </font>
    <font>
      <sz val="13"/>
      <name val="Calibri"/>
      <family val="2"/>
    </font>
    <font>
      <b/>
      <sz val="13"/>
      <color rgb="FF0F2733"/>
      <name val="Calibri"/>
      <family val="2"/>
    </font>
    <font>
      <i/>
      <sz val="11"/>
      <color rgb="FF595959"/>
      <name val="Calibri"/>
      <family val="2"/>
    </font>
    <font>
      <b/>
      <sz val="18"/>
      <color rgb="FF1B4965"/>
      <name val="Calibri"/>
      <family val="2"/>
    </font>
    <font>
      <i/>
      <sz val="11"/>
      <color rgb="FF595959"/>
      <name val="Calibri"/>
      <family val="2"/>
    </font>
    <font>
      <b/>
      <sz val="12"/>
      <color rgb="FF1B4965"/>
      <name val="Calibri"/>
      <family val="2"/>
    </font>
    <font>
      <b/>
      <sz val="12"/>
      <color rgb="FF000000"/>
      <name val="Calibri"/>
      <family val="2"/>
    </font>
    <font>
      <b/>
      <sz val="13"/>
      <color rgb="FF1B4965"/>
      <name val="Calibri"/>
      <family val="2"/>
    </font>
    <font>
      <sz val="11"/>
      <color rgb="FF1B4965"/>
      <name val="Calibri"/>
      <family val="2"/>
    </font>
    <font>
      <b/>
      <sz val="11"/>
      <color rgb="FFFFFFFF"/>
      <name val="Calibri"/>
      <family val="2"/>
    </font>
    <font>
      <sz val="12"/>
      <color rgb="FF000000"/>
      <name val="Calibri"/>
      <family val="2"/>
    </font>
    <font>
      <b/>
      <sz val="12"/>
      <color rgb="FFFFFFFF"/>
      <name val="Calibri"/>
      <family val="2"/>
    </font>
    <font>
      <sz val="11"/>
      <color rgb="FF595959"/>
      <name val="Calibri"/>
      <family val="2"/>
    </font>
  </fonts>
  <fills count="17">
    <fill>
      <patternFill patternType="none"/>
    </fill>
    <fill>
      <patternFill patternType="gray125"/>
    </fill>
    <fill>
      <patternFill patternType="solid">
        <fgColor rgb="FFD9D9D9"/>
        <bgColor rgb="FFD6E4EA"/>
      </patternFill>
    </fill>
    <fill>
      <patternFill patternType="solid">
        <fgColor rgb="FFE4A9A4"/>
        <bgColor rgb="FFF0C48E"/>
      </patternFill>
    </fill>
    <fill>
      <patternFill patternType="solid">
        <fgColor rgb="FFF0C48E"/>
        <bgColor rgb="FFE4A9A4"/>
      </patternFill>
    </fill>
    <fill>
      <patternFill patternType="solid">
        <fgColor rgb="FFF5E3A0"/>
        <bgColor rgb="FFF0C48E"/>
      </patternFill>
    </fill>
    <fill>
      <patternFill patternType="solid">
        <fgColor rgb="FFCBE3BC"/>
        <bgColor rgb="FFD9D9D9"/>
      </patternFill>
    </fill>
    <fill>
      <patternFill patternType="solid">
        <fgColor rgb="FF9FCBB8"/>
        <bgColor rgb="FFBFCDD4"/>
      </patternFill>
    </fill>
    <fill>
      <patternFill patternType="solid">
        <fgColor rgb="FFFFF4E0"/>
        <bgColor rgb="FFFFFFFF"/>
      </patternFill>
    </fill>
    <fill>
      <patternFill patternType="solid">
        <fgColor rgb="FF1B4965"/>
        <bgColor rgb="FF14503C"/>
      </patternFill>
    </fill>
    <fill>
      <patternFill patternType="solid">
        <fgColor rgb="FFD6E4EA"/>
        <bgColor rgb="FFD9D9D9"/>
      </patternFill>
    </fill>
    <fill>
      <patternFill patternType="solid">
        <fgColor rgb="FFEAF2F4"/>
        <bgColor rgb="FFFFF4E0"/>
      </patternFill>
    </fill>
    <fill>
      <patternFill patternType="solid">
        <fgColor theme="0"/>
        <bgColor rgb="FFD9D9D9"/>
      </patternFill>
    </fill>
    <fill>
      <patternFill patternType="solid">
        <fgColor theme="0"/>
        <bgColor indexed="64"/>
      </patternFill>
    </fill>
    <fill>
      <patternFill patternType="solid">
        <fgColor theme="3"/>
        <bgColor indexed="64"/>
      </patternFill>
    </fill>
    <fill>
      <patternFill patternType="solid">
        <fgColor rgb="FFEAF2F4"/>
      </patternFill>
    </fill>
    <fill>
      <patternFill patternType="solid">
        <fgColor rgb="FF1B4965"/>
      </patternFill>
    </fill>
  </fills>
  <borders count="3">
    <border>
      <left/>
      <right/>
      <top/>
      <bottom/>
      <diagonal/>
    </border>
    <border>
      <left style="thin">
        <color rgb="FFBFCDD4"/>
      </left>
      <right style="thin">
        <color rgb="FFBFCDD4"/>
      </right>
      <top style="thin">
        <color rgb="FFBFCDD4"/>
      </top>
      <bottom style="thin">
        <color rgb="FFBFCDD4"/>
      </bottom>
      <diagonal/>
    </border>
    <border>
      <left style="thin">
        <color rgb="FFB8CBD3"/>
      </left>
      <right style="thin">
        <color rgb="FFB8CBD3"/>
      </right>
      <top style="thin">
        <color rgb="FFB8CBD3"/>
      </top>
      <bottom style="thin">
        <color rgb="FFB8CBD3"/>
      </bottom>
      <diagonal/>
    </border>
  </borders>
  <cellStyleXfs count="1">
    <xf numFmtId="0" fontId="0" fillId="0" borderId="0"/>
  </cellStyleXfs>
  <cellXfs count="122">
    <xf numFmtId="0" fontId="0" fillId="0" borderId="0" xfId="0"/>
    <xf numFmtId="0" fontId="2" fillId="0" borderId="0" xfId="0" applyFont="1"/>
    <xf numFmtId="0" fontId="4" fillId="0" borderId="0" xfId="0" applyFont="1"/>
    <xf numFmtId="0" fontId="5" fillId="9" borderId="1" xfId="0" applyFont="1" applyFill="1" applyBorder="1" applyAlignment="1">
      <alignment horizontal="center" vertical="center" wrapText="1"/>
    </xf>
    <xf numFmtId="0" fontId="3" fillId="0" borderId="1" xfId="0" applyFont="1" applyBorder="1" applyAlignment="1">
      <alignment vertical="top" wrapText="1"/>
    </xf>
    <xf numFmtId="0" fontId="6" fillId="11" borderId="1" xfId="0" applyFont="1" applyFill="1" applyBorder="1" applyAlignment="1">
      <alignment vertical="top" wrapText="1"/>
    </xf>
    <xf numFmtId="0" fontId="7" fillId="0" borderId="0" xfId="0" applyFont="1"/>
    <xf numFmtId="164" fontId="3" fillId="0" borderId="1" xfId="0" applyNumberFormat="1" applyFont="1" applyBorder="1" applyAlignment="1">
      <alignment vertical="top" wrapText="1"/>
    </xf>
    <xf numFmtId="0" fontId="8" fillId="0" borderId="0" xfId="0" applyFont="1"/>
    <xf numFmtId="0" fontId="9" fillId="0" borderId="0" xfId="0" applyFont="1"/>
    <xf numFmtId="0" fontId="10" fillId="0" borderId="0" xfId="0" applyFont="1"/>
    <xf numFmtId="0" fontId="11" fillId="0" borderId="0" xfId="0" applyFont="1" applyAlignment="1">
      <alignment horizontal="left" vertical="top" wrapText="1"/>
    </xf>
    <xf numFmtId="0" fontId="12" fillId="0" borderId="0" xfId="0" applyFont="1" applyAlignment="1">
      <alignment horizontal="left" vertical="top" wrapText="1"/>
    </xf>
    <xf numFmtId="0" fontId="10" fillId="0" borderId="0" xfId="0" applyFont="1" applyAlignment="1">
      <alignment horizontal="left" vertical="top" wrapText="1"/>
    </xf>
    <xf numFmtId="0" fontId="13" fillId="2" borderId="0" xfId="0" applyFont="1" applyFill="1" applyAlignment="1">
      <alignment horizontal="left" vertical="top" wrapText="1"/>
    </xf>
    <xf numFmtId="0" fontId="14" fillId="3" borderId="0" xfId="0" applyFont="1" applyFill="1" applyAlignment="1">
      <alignment horizontal="left" vertical="top" wrapText="1"/>
    </xf>
    <xf numFmtId="0" fontId="15" fillId="4" borderId="0" xfId="0" applyFont="1" applyFill="1" applyAlignment="1">
      <alignment horizontal="left" vertical="top" wrapText="1"/>
    </xf>
    <xf numFmtId="0" fontId="16" fillId="5" borderId="0" xfId="0" applyFont="1" applyFill="1" applyAlignment="1">
      <alignment horizontal="left" vertical="top" wrapText="1"/>
    </xf>
    <xf numFmtId="0" fontId="17" fillId="6" borderId="0" xfId="0" applyFont="1" applyFill="1" applyAlignment="1">
      <alignment horizontal="left" vertical="top" wrapText="1"/>
    </xf>
    <xf numFmtId="0" fontId="18" fillId="7" borderId="0" xfId="0" applyFont="1" applyFill="1" applyAlignment="1">
      <alignment horizontal="left" vertical="top" wrapText="1"/>
    </xf>
    <xf numFmtId="0" fontId="11" fillId="0" borderId="0" xfId="0" applyFont="1"/>
    <xf numFmtId="0" fontId="12" fillId="0" borderId="0" xfId="0" applyFont="1"/>
    <xf numFmtId="1" fontId="11" fillId="0" borderId="0" xfId="0" applyNumberFormat="1" applyFont="1" applyAlignment="1">
      <alignment horizontal="left"/>
    </xf>
    <xf numFmtId="165" fontId="11" fillId="8" borderId="0" xfId="0" applyNumberFormat="1" applyFont="1" applyFill="1" applyAlignment="1">
      <alignment horizontal="left"/>
    </xf>
    <xf numFmtId="2" fontId="11" fillId="0" borderId="0" xfId="0" applyNumberFormat="1" applyFont="1" applyAlignment="1">
      <alignment horizontal="left"/>
    </xf>
    <xf numFmtId="0" fontId="19" fillId="3" borderId="0" xfId="0" applyFont="1" applyFill="1"/>
    <xf numFmtId="1" fontId="14" fillId="3" borderId="0" xfId="0" applyNumberFormat="1" applyFont="1" applyFill="1" applyAlignment="1">
      <alignment horizontal="left"/>
    </xf>
    <xf numFmtId="0" fontId="20" fillId="4" borderId="0" xfId="0" applyFont="1" applyFill="1"/>
    <xf numFmtId="1" fontId="15" fillId="4" borderId="0" xfId="0" applyNumberFormat="1" applyFont="1" applyFill="1" applyAlignment="1">
      <alignment horizontal="left"/>
    </xf>
    <xf numFmtId="0" fontId="21" fillId="5" borderId="0" xfId="0" applyFont="1" applyFill="1"/>
    <xf numFmtId="1" fontId="16" fillId="5" borderId="0" xfId="0" applyNumberFormat="1" applyFont="1" applyFill="1" applyAlignment="1">
      <alignment horizontal="left"/>
    </xf>
    <xf numFmtId="0" fontId="22" fillId="6" borderId="0" xfId="0" applyFont="1" applyFill="1"/>
    <xf numFmtId="1" fontId="17" fillId="6" borderId="0" xfId="0" applyNumberFormat="1" applyFont="1" applyFill="1" applyAlignment="1">
      <alignment horizontal="left"/>
    </xf>
    <xf numFmtId="0" fontId="23" fillId="7" borderId="0" xfId="0" applyFont="1" applyFill="1"/>
    <xf numFmtId="1" fontId="18" fillId="7" borderId="0" xfId="0" applyNumberFormat="1" applyFont="1" applyFill="1" applyAlignment="1">
      <alignment horizontal="left"/>
    </xf>
    <xf numFmtId="0" fontId="24" fillId="2" borderId="0" xfId="0" applyFont="1" applyFill="1"/>
    <xf numFmtId="1" fontId="13" fillId="2" borderId="0" xfId="0" applyNumberFormat="1" applyFont="1" applyFill="1" applyAlignment="1">
      <alignment horizontal="left"/>
    </xf>
    <xf numFmtId="1" fontId="11" fillId="8" borderId="0" xfId="0" applyNumberFormat="1" applyFont="1" applyFill="1" applyAlignment="1">
      <alignment horizontal="left"/>
    </xf>
    <xf numFmtId="0" fontId="25" fillId="9"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2" fillId="11" borderId="1" xfId="0" applyFont="1" applyFill="1" applyBorder="1" applyAlignment="1">
      <alignment vertical="top" wrapText="1"/>
    </xf>
    <xf numFmtId="0" fontId="11" fillId="0" borderId="1" xfId="0" applyFont="1" applyBorder="1" applyAlignment="1">
      <alignment horizontal="center" vertical="center" wrapText="1"/>
    </xf>
    <xf numFmtId="0" fontId="12" fillId="0" borderId="1" xfId="0" applyFont="1" applyBorder="1" applyAlignment="1">
      <alignment vertical="top" wrapText="1"/>
    </xf>
    <xf numFmtId="0" fontId="11" fillId="11" borderId="1" xfId="0" applyFont="1" applyFill="1" applyBorder="1" applyAlignment="1">
      <alignment vertical="top" wrapText="1"/>
    </xf>
    <xf numFmtId="0" fontId="11" fillId="0" borderId="1" xfId="0" applyFont="1" applyBorder="1" applyAlignment="1">
      <alignment vertical="top" wrapText="1"/>
    </xf>
    <xf numFmtId="0" fontId="26" fillId="0" borderId="0" xfId="0" applyFont="1"/>
    <xf numFmtId="0" fontId="27" fillId="0" borderId="0" xfId="0" applyFont="1"/>
    <xf numFmtId="0" fontId="28" fillId="9" borderId="1" xfId="0" applyFont="1" applyFill="1" applyBorder="1" applyAlignment="1">
      <alignment horizontal="center" vertical="center" wrapText="1"/>
    </xf>
    <xf numFmtId="0" fontId="29" fillId="11" borderId="1" xfId="0" applyFont="1" applyFill="1" applyBorder="1" applyAlignment="1">
      <alignment vertical="top" wrapText="1"/>
    </xf>
    <xf numFmtId="0" fontId="30" fillId="11" borderId="1" xfId="0" applyFont="1" applyFill="1" applyBorder="1" applyAlignment="1">
      <alignment vertical="top" wrapText="1"/>
    </xf>
    <xf numFmtId="166" fontId="30" fillId="8" borderId="1" xfId="0" applyNumberFormat="1" applyFont="1" applyFill="1" applyBorder="1" applyAlignment="1">
      <alignment vertical="top" wrapText="1"/>
    </xf>
    <xf numFmtId="0" fontId="30" fillId="0" borderId="1" xfId="0" applyFont="1" applyBorder="1" applyAlignment="1">
      <alignment vertical="top"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xf>
    <xf numFmtId="166" fontId="4" fillId="10" borderId="1" xfId="0" applyNumberFormat="1" applyFont="1" applyFill="1" applyBorder="1" applyAlignment="1">
      <alignment horizontal="center" vertical="center" wrapText="1"/>
    </xf>
    <xf numFmtId="0" fontId="29" fillId="11"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8" borderId="1" xfId="0" applyFont="1" applyFill="1" applyBorder="1" applyAlignment="1">
      <alignment vertical="top" wrapText="1"/>
    </xf>
    <xf numFmtId="0" fontId="31" fillId="11" borderId="1" xfId="0" applyFont="1" applyFill="1" applyBorder="1" applyAlignment="1">
      <alignment vertical="top" wrapText="1"/>
    </xf>
    <xf numFmtId="166" fontId="30" fillId="8" borderId="1" xfId="0" applyNumberFormat="1" applyFont="1" applyFill="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vertical="top" wrapText="1"/>
    </xf>
    <xf numFmtId="0" fontId="29" fillId="0" borderId="0" xfId="0" applyFont="1"/>
    <xf numFmtId="0" fontId="27" fillId="0" borderId="0" xfId="0" applyFont="1" applyAlignment="1">
      <alignment horizontal="left" vertical="top" wrapText="1"/>
    </xf>
    <xf numFmtId="0" fontId="32" fillId="0" borderId="0" xfId="0" applyFont="1"/>
    <xf numFmtId="0" fontId="33" fillId="9" borderId="1" xfId="0" applyFont="1" applyFill="1" applyBorder="1" applyAlignment="1">
      <alignment horizontal="center" vertical="center" wrapText="1"/>
    </xf>
    <xf numFmtId="167" fontId="1" fillId="10" borderId="1" xfId="0" applyNumberFormat="1" applyFont="1" applyFill="1" applyBorder="1" applyAlignment="1">
      <alignment horizontal="center" vertical="center" wrapText="1"/>
    </xf>
    <xf numFmtId="0" fontId="1" fillId="10"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34" fillId="0" borderId="1" xfId="0" applyFont="1" applyBorder="1" applyAlignment="1">
      <alignment horizontal="center" vertical="center" wrapText="1"/>
    </xf>
    <xf numFmtId="167" fontId="35" fillId="10" borderId="1" xfId="0" applyNumberFormat="1"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36" fillId="11"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37" fillId="0" borderId="0" xfId="0" applyFont="1"/>
    <xf numFmtId="0" fontId="38" fillId="11" borderId="1" xfId="0" applyFont="1" applyFill="1" applyBorder="1" applyAlignment="1">
      <alignment vertical="top" wrapText="1"/>
    </xf>
    <xf numFmtId="0" fontId="39" fillId="0" borderId="1" xfId="0" applyFont="1" applyBorder="1" applyAlignment="1">
      <alignment vertical="top"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xf>
    <xf numFmtId="167"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166" fontId="4" fillId="12" borderId="1" xfId="0" applyNumberFormat="1" applyFont="1" applyFill="1" applyBorder="1" applyAlignment="1">
      <alignment horizontal="center" vertical="center" wrapText="1"/>
    </xf>
    <xf numFmtId="0" fontId="26" fillId="13" borderId="0" xfId="0" applyFont="1" applyFill="1"/>
    <xf numFmtId="0" fontId="0" fillId="0" borderId="1" xfId="0" applyBorder="1"/>
    <xf numFmtId="0" fontId="40" fillId="0" borderId="0" xfId="0" applyFont="1"/>
    <xf numFmtId="0" fontId="41" fillId="0" borderId="0" xfId="0" applyFont="1" applyAlignment="1">
      <alignment horizontal="left" vertical="top" wrapText="1"/>
    </xf>
    <xf numFmtId="0" fontId="46" fillId="0" borderId="0" xfId="0" applyFont="1" applyAlignment="1">
      <alignment horizontal="left" vertical="top" wrapText="1"/>
    </xf>
    <xf numFmtId="0" fontId="42" fillId="0" borderId="0" xfId="0" applyFont="1"/>
    <xf numFmtId="2" fontId="42" fillId="0" borderId="0" xfId="0" applyNumberFormat="1" applyFont="1" applyAlignment="1">
      <alignment horizontal="left"/>
    </xf>
    <xf numFmtId="0" fontId="42" fillId="0" borderId="0" xfId="0" applyFont="1" applyAlignment="1">
      <alignment horizontal="left" vertical="top" wrapText="1"/>
    </xf>
    <xf numFmtId="0" fontId="43" fillId="0" borderId="0" xfId="0" applyFont="1" applyAlignment="1">
      <alignment indent="1"/>
    </xf>
    <xf numFmtId="2" fontId="44" fillId="0" borderId="0" xfId="0" applyNumberFormat="1" applyFont="1" applyAlignment="1">
      <alignment horizontal="left"/>
    </xf>
    <xf numFmtId="0" fontId="43" fillId="0" borderId="0" xfId="0" applyFont="1" applyAlignment="1">
      <alignment horizontal="left" vertical="top" wrapText="1"/>
    </xf>
    <xf numFmtId="0" fontId="45" fillId="0" borderId="0" xfId="0" applyFont="1"/>
    <xf numFmtId="2" fontId="45" fillId="0" borderId="0" xfId="0" applyNumberFormat="1" applyFont="1" applyAlignment="1">
      <alignment horizontal="left"/>
    </xf>
    <xf numFmtId="0" fontId="45" fillId="0" borderId="0" xfId="0" applyFont="1" applyAlignment="1">
      <alignment horizontal="left" vertical="top" wrapText="1"/>
    </xf>
    <xf numFmtId="0" fontId="9" fillId="14" borderId="0" xfId="0" applyFont="1" applyFill="1"/>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vertical="center"/>
    </xf>
    <xf numFmtId="0" fontId="50" fillId="15" borderId="2" xfId="0" applyFont="1" applyFill="1" applyBorder="1" applyAlignment="1">
      <alignment vertical="center"/>
    </xf>
    <xf numFmtId="1" fontId="51" fillId="15" borderId="2" xfId="0" applyNumberFormat="1" applyFont="1" applyFill="1" applyBorder="1" applyAlignment="1">
      <alignment horizontal="center" vertical="center"/>
    </xf>
    <xf numFmtId="165" fontId="51" fillId="15" borderId="2" xfId="0" applyNumberFormat="1" applyFont="1" applyFill="1" applyBorder="1" applyAlignment="1">
      <alignment horizontal="center" vertical="center"/>
    </xf>
    <xf numFmtId="0" fontId="52" fillId="0" borderId="0" xfId="0" applyFont="1" applyAlignment="1">
      <alignment vertical="center"/>
    </xf>
    <xf numFmtId="2" fontId="51" fillId="15" borderId="2" xfId="0" applyNumberFormat="1" applyFont="1" applyFill="1" applyBorder="1" applyAlignment="1">
      <alignment horizontal="center" vertical="center"/>
    </xf>
    <xf numFmtId="0" fontId="53" fillId="16" borderId="2" xfId="0" applyFont="1" applyFill="1" applyBorder="1" applyAlignment="1">
      <alignment horizontal="center" vertical="center" wrapText="1"/>
    </xf>
    <xf numFmtId="0" fontId="54" fillId="15" borderId="2" xfId="0" applyFont="1" applyFill="1" applyBorder="1" applyAlignment="1">
      <alignment vertical="center"/>
    </xf>
    <xf numFmtId="1" fontId="50" fillId="15" borderId="2" xfId="0" applyNumberFormat="1" applyFont="1" applyFill="1" applyBorder="1" applyAlignment="1">
      <alignment horizontal="center" vertical="center"/>
    </xf>
    <xf numFmtId="165" fontId="54" fillId="15" borderId="2" xfId="0" applyNumberFormat="1" applyFont="1" applyFill="1" applyBorder="1" applyAlignment="1">
      <alignment horizontal="center" vertical="center"/>
    </xf>
    <xf numFmtId="0" fontId="52" fillId="0" borderId="2" xfId="0" applyFont="1" applyBorder="1" applyAlignment="1">
      <alignment vertical="center"/>
    </xf>
    <xf numFmtId="1" fontId="54" fillId="15" borderId="2" xfId="0" applyNumberFormat="1" applyFont="1" applyFill="1" applyBorder="1" applyAlignment="1">
      <alignment horizontal="center" vertical="center"/>
    </xf>
    <xf numFmtId="2" fontId="49" fillId="15" borderId="2" xfId="0" applyNumberFormat="1" applyFont="1" applyFill="1" applyBorder="1" applyAlignment="1">
      <alignment horizontal="center" vertical="center"/>
    </xf>
    <xf numFmtId="0" fontId="55" fillId="16" borderId="2" xfId="0" applyFont="1" applyFill="1" applyBorder="1" applyAlignment="1">
      <alignment vertical="center"/>
    </xf>
    <xf numFmtId="1" fontId="55" fillId="16" borderId="2" xfId="0" applyNumberFormat="1" applyFont="1" applyFill="1" applyBorder="1" applyAlignment="1">
      <alignment horizontal="center" vertical="center"/>
    </xf>
    <xf numFmtId="2" fontId="55" fillId="16" borderId="2" xfId="0" applyNumberFormat="1" applyFont="1" applyFill="1" applyBorder="1" applyAlignment="1">
      <alignment horizontal="center" vertical="center"/>
    </xf>
    <xf numFmtId="0" fontId="54" fillId="15" borderId="2" xfId="0" applyFont="1" applyFill="1" applyBorder="1" applyAlignment="1">
      <alignment horizontal="center" vertical="center"/>
    </xf>
    <xf numFmtId="0" fontId="56" fillId="0" borderId="0" xfId="0" applyFont="1" applyAlignment="1">
      <alignment vertical="center"/>
    </xf>
    <xf numFmtId="0" fontId="49" fillId="0" borderId="0" xfId="0" applyFont="1" applyAlignment="1">
      <alignment vertical="top" wrapText="1"/>
    </xf>
    <xf numFmtId="0" fontId="56" fillId="0" borderId="0" xfId="0" applyFont="1" applyAlignment="1">
      <alignment vertical="top" wrapText="1"/>
    </xf>
  </cellXfs>
  <cellStyles count="1">
    <cellStyle name="Normal" xfId="0" builtinId="0"/>
  </cellStyles>
  <dxfs count="144">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color rgb="FF7A2E28"/>
        <name val="Calibri"/>
      </font>
      <fill>
        <patternFill patternType="solid">
          <fgColor rgb="FFE4A9A4"/>
          <bgColor rgb="FFE4A9A4"/>
        </patternFill>
      </fill>
    </dxf>
    <dxf>
      <font>
        <color rgb="FF5A5A5A"/>
        <name val="Calibri"/>
      </font>
      <fill>
        <patternFill patternType="solid">
          <fgColor rgb="FFD9D9D9"/>
          <bgColor rgb="FFD9D9D9"/>
        </patternFill>
      </fill>
    </dxf>
    <dxf>
      <font>
        <color rgb="FF14503C"/>
        <name val="Calibri"/>
      </font>
      <fill>
        <patternFill patternType="solid">
          <fgColor rgb="FF9FCBB8"/>
          <bgColor rgb="FF9FCBB8"/>
        </patternFill>
      </fill>
    </dxf>
    <dxf>
      <font>
        <color rgb="FF2E5A2A"/>
        <name val="Calibri"/>
      </font>
      <fill>
        <patternFill patternType="solid">
          <fgColor rgb="FFCBE3BC"/>
          <bgColor rgb="FFCBE3BC"/>
        </patternFill>
      </fill>
    </dxf>
    <dxf>
      <font>
        <color rgb="FF6B5A10"/>
        <name val="Calibri"/>
      </font>
      <fill>
        <patternFill patternType="solid">
          <fgColor rgb="FFF5E3A0"/>
          <bgColor rgb="FFF5E3A0"/>
        </patternFill>
      </fill>
    </dxf>
    <dxf>
      <font>
        <color rgb="FF7A4A12"/>
        <name val="Calibri"/>
      </font>
      <fill>
        <patternFill patternType="solid">
          <fgColor rgb="FFF0C48E"/>
          <bgColor rgb="FFF0C48E"/>
        </patternFill>
      </fill>
    </dxf>
    <dxf>
      <font>
        <color rgb="FF7A2E28"/>
        <name val="Calibri"/>
      </font>
      <fill>
        <patternFill patternType="solid">
          <fgColor rgb="FFE4A9A4"/>
          <bgColor rgb="FFE4A9A4"/>
        </patternFill>
      </fill>
    </dxf>
    <dxf>
      <font>
        <b/>
        <color rgb="FF5A5A5A"/>
        <name val="Calibri"/>
      </font>
      <fill>
        <patternFill patternType="solid">
          <fgColor rgb="FFD9D9D9"/>
          <bgColor rgb="FFD9D9D9"/>
        </patternFill>
      </fill>
    </dxf>
    <dxf>
      <font>
        <b/>
        <color rgb="FF14503C"/>
        <name val="Calibri"/>
      </font>
      <fill>
        <patternFill patternType="solid">
          <fgColor rgb="FF9FCBB8"/>
          <bgColor rgb="FF9FCBB8"/>
        </patternFill>
      </fill>
    </dxf>
    <dxf>
      <font>
        <b/>
        <color rgb="FF2E5A2A"/>
        <name val="Calibri"/>
      </font>
      <fill>
        <patternFill patternType="solid">
          <fgColor rgb="FFCBE3BC"/>
          <bgColor rgb="FFCBE3BC"/>
        </patternFill>
      </fill>
    </dxf>
    <dxf>
      <font>
        <b/>
        <color rgb="FF6B5A10"/>
        <name val="Calibri"/>
      </font>
      <fill>
        <patternFill patternType="solid">
          <fgColor rgb="FFF5E3A0"/>
          <bgColor rgb="FFF5E3A0"/>
        </patternFill>
      </fill>
    </dxf>
    <dxf>
      <font>
        <b/>
        <color rgb="FF7A4A12"/>
        <name val="Calibri"/>
      </font>
      <fill>
        <patternFill patternType="solid">
          <fgColor rgb="FFF0C48E"/>
          <bgColor rgb="FFF0C48E"/>
        </patternFill>
      </fill>
    </dxf>
    <dxf>
      <font>
        <b/>
        <color rgb="FF7A2E28"/>
        <name val="Calibri"/>
      </font>
      <fill>
        <patternFill patternType="solid">
          <fgColor rgb="FFE4A9A4"/>
          <bgColor rgb="FFE4A9A4"/>
        </patternFill>
      </fill>
    </dxf>
    <dxf>
      <font>
        <b/>
        <color rgb="FF7A2E28"/>
        <name val="Calibri"/>
      </font>
      <fill>
        <patternFill patternType="solid">
          <fgColor rgb="FFE4A9A4"/>
          <bgColor rgb="FFE4A9A4"/>
        </patternFill>
      </fill>
    </dxf>
    <dxf>
      <font>
        <b/>
        <color rgb="FF6B5A10"/>
        <name val="Calibri"/>
      </font>
      <fill>
        <patternFill patternType="solid">
          <fgColor rgb="FFF5E3A0"/>
          <bgColor rgb="FFF5E3A0"/>
        </patternFill>
      </fill>
    </dxf>
    <dxf>
      <font>
        <b/>
        <color rgb="FF2E5A2A"/>
        <name val="Calibri"/>
      </font>
      <fill>
        <patternFill patternType="solid">
          <fgColor rgb="FFCBE3BC"/>
          <bgColor rgb="FFCBE3BC"/>
        </patternFill>
      </fill>
    </dxf>
    <dxf>
      <font>
        <b/>
        <sz val="10"/>
        <color rgb="FF7A2E28"/>
        <name val="Calibri"/>
        <charset val="1"/>
      </font>
      <fill>
        <patternFill>
          <bgColor rgb="FFE4A9A4"/>
        </patternFill>
      </fill>
    </dxf>
    <dxf>
      <font>
        <sz val="10"/>
        <color rgb="FF5A5A5A"/>
        <name val="Calibri"/>
        <charset val="1"/>
      </font>
      <fill>
        <patternFill>
          <bgColor rgb="FFD9D9D9"/>
        </patternFill>
      </fill>
    </dxf>
    <dxf>
      <font>
        <sz val="10"/>
        <color rgb="FF14503C"/>
        <name val="Calibri"/>
        <charset val="1"/>
      </font>
      <fill>
        <patternFill>
          <bgColor rgb="FF9FCBB8"/>
        </patternFill>
      </fill>
    </dxf>
    <dxf>
      <font>
        <sz val="10"/>
        <color rgb="FF2E5A2A"/>
        <name val="Calibri"/>
        <charset val="1"/>
      </font>
      <fill>
        <patternFill>
          <bgColor rgb="FFCBE3BC"/>
        </patternFill>
      </fill>
    </dxf>
    <dxf>
      <font>
        <sz val="10"/>
        <color rgb="FF6B5A10"/>
        <name val="Calibri"/>
        <charset val="1"/>
      </font>
      <fill>
        <patternFill>
          <bgColor rgb="FFF5E3A0"/>
        </patternFill>
      </fill>
    </dxf>
    <dxf>
      <font>
        <sz val="10"/>
        <color rgb="FF7A4A12"/>
        <name val="Calibri"/>
        <charset val="1"/>
      </font>
      <fill>
        <patternFill>
          <bgColor rgb="FFF0C48E"/>
        </patternFill>
      </fill>
    </dxf>
    <dxf>
      <font>
        <sz val="10"/>
        <color rgb="FF7A2E28"/>
        <name val="Calibri"/>
        <charset val="1"/>
      </font>
      <fill>
        <patternFill>
          <bgColor rgb="FFE4A9A4"/>
        </patternFill>
      </fill>
    </dxf>
    <dxf>
      <font>
        <b/>
        <sz val="10"/>
        <color rgb="FF5A5A5A"/>
        <name val="Calibri"/>
        <charset val="1"/>
      </font>
      <fill>
        <patternFill>
          <bgColor rgb="FFD9D9D9"/>
        </patternFill>
      </fill>
    </dxf>
    <dxf>
      <font>
        <b/>
        <sz val="10"/>
        <color rgb="FF14503C"/>
        <name val="Calibri"/>
        <charset val="1"/>
      </font>
      <fill>
        <patternFill>
          <bgColor rgb="FF9FCBB8"/>
        </patternFill>
      </fill>
    </dxf>
    <dxf>
      <font>
        <b/>
        <sz val="10"/>
        <color rgb="FF2E5A2A"/>
        <name val="Calibri"/>
        <charset val="1"/>
      </font>
      <fill>
        <patternFill>
          <bgColor rgb="FFCBE3BC"/>
        </patternFill>
      </fill>
    </dxf>
    <dxf>
      <font>
        <b/>
        <sz val="10"/>
        <color rgb="FF6B5A10"/>
        <name val="Calibri"/>
        <charset val="1"/>
      </font>
      <fill>
        <patternFill>
          <bgColor rgb="FFF5E3A0"/>
        </patternFill>
      </fill>
    </dxf>
    <dxf>
      <font>
        <b/>
        <sz val="10"/>
        <color rgb="FF7A4A12"/>
        <name val="Calibri"/>
        <charset val="1"/>
      </font>
      <fill>
        <patternFill>
          <bgColor rgb="FFF0C48E"/>
        </patternFill>
      </fill>
    </dxf>
    <dxf>
      <font>
        <b/>
        <sz val="10"/>
        <color rgb="FF7A2E28"/>
        <name val="Calibri"/>
        <charset val="1"/>
      </font>
      <fill>
        <patternFill>
          <bgColor rgb="FFE4A9A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6B5A10"/>
      <rgbColor rgb="FF800080"/>
      <rgbColor rgb="FF008080"/>
      <rgbColor rgb="FFBFCDD4"/>
      <rgbColor rgb="FF7F7F7F"/>
      <rgbColor rgb="FF9999FF"/>
      <rgbColor rgb="FF7A4A12"/>
      <rgbColor rgb="FFFFF4E0"/>
      <rgbColor rgb="FFEAF2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EA"/>
      <rgbColor rgb="FFCBE3BC"/>
      <rgbColor rgb="FFF5E3A0"/>
      <rgbColor rgb="FF9FCBB8"/>
      <rgbColor rgb="FFE4A9A4"/>
      <rgbColor rgb="FFCC99FF"/>
      <rgbColor rgb="FFF0C48E"/>
      <rgbColor rgb="FF3366FF"/>
      <rgbColor rgb="FF33CCCC"/>
      <rgbColor rgb="FF99CC00"/>
      <rgbColor rgb="FFFFCC00"/>
      <rgbColor rgb="FFFF9900"/>
      <rgbColor rgb="FFFF6600"/>
      <rgbColor rgb="FF4A6572"/>
      <rgbColor rgb="FF969696"/>
      <rgbColor rgb="FF1B4965"/>
      <rgbColor rgb="FF339966"/>
      <rgbColor rgb="FF003300"/>
      <rgbColor rgb="FF2E5A2A"/>
      <rgbColor rgb="FF7A2E28"/>
      <rgbColor rgb="FF5A5A5A"/>
      <rgbColor rgb="FF595959"/>
      <rgbColor rgb="FF1450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70"/>
  <sheetViews>
    <sheetView showGridLines="0" zoomScale="85" workbookViewId="0"/>
  </sheetViews>
  <sheetFormatPr baseColWidth="10" defaultColWidth="8.83203125" defaultRowHeight="15" x14ac:dyDescent="0.2"/>
  <cols>
    <col min="1" max="1" width="2" customWidth="1"/>
    <col min="2" max="2" width="34" customWidth="1"/>
    <col min="3" max="6" width="11" customWidth="1"/>
    <col min="7" max="7" width="13" customWidth="1"/>
    <col min="8" max="10" width="11" customWidth="1"/>
    <col min="11" max="11" width="44" customWidth="1"/>
  </cols>
  <sheetData>
    <row r="2" spans="2:5" ht="28" customHeight="1" x14ac:dyDescent="0.2">
      <c r="B2" s="100" t="s">
        <v>0</v>
      </c>
    </row>
    <row r="3" spans="2:5" x14ac:dyDescent="0.2">
      <c r="B3" s="101" t="s">
        <v>1</v>
      </c>
    </row>
    <row r="5" spans="2:5" ht="26" customHeight="1" x14ac:dyDescent="0.2">
      <c r="B5" s="102" t="s">
        <v>2</v>
      </c>
    </row>
    <row r="6" spans="2:5" ht="20" customHeight="1" x14ac:dyDescent="0.2">
      <c r="B6" s="103" t="s">
        <v>3</v>
      </c>
      <c r="C6" s="104">
        <f>COUNTIF('CC1 Controls'!$B$5:$B$39,"&lt;&gt;")+COUNTIF('CC2 Controls'!$B$5:$B$24,"&lt;&gt;")+COUNTIF('CC3 Controls'!$B$5:$B$28,"&lt;&gt;")+COUNTIF('CC4 Controls'!$B$5:$B$19,"&lt;&gt;")+COUNTIF('CC5 Controls'!$B$5:$B$19,"&lt;&gt;")+COUNTIF('CC6 Controls'!$B$5:$B$44,"&lt;&gt;")+COUNTIF('CC7 Controls'!$B$5:$B$30,"&lt;&gt;")+COUNTIF('CC8 Controls'!$B$5:$B$12,"&lt;&gt;")+COUNTIF('CC9 Controls'!$B$5:$B$16,"&lt;&gt;")</f>
        <v>160</v>
      </c>
      <c r="D6" s="101" t="s">
        <v>4</v>
      </c>
    </row>
    <row r="7" spans="2:5" ht="20" customHeight="1" x14ac:dyDescent="0.2">
      <c r="B7" s="103" t="s">
        <v>5</v>
      </c>
      <c r="C7" s="104">
        <f>((COUNTIF('CC1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f>
        <v>159</v>
      </c>
      <c r="D7" s="101" t="s">
        <v>6</v>
      </c>
    </row>
    <row r="8" spans="2:5" ht="20" customHeight="1" x14ac:dyDescent="0.2">
      <c r="B8" s="103" t="s">
        <v>7</v>
      </c>
      <c r="C8" s="104">
        <f>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f>
        <v>159</v>
      </c>
      <c r="D8" s="101" t="s">
        <v>8</v>
      </c>
    </row>
    <row r="9" spans="2:5" ht="20" customHeight="1" x14ac:dyDescent="0.2">
      <c r="B9" s="103" t="s">
        <v>9</v>
      </c>
      <c r="C9" s="104">
        <f>((COUNTIF('CC1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f>
        <v>1</v>
      </c>
      <c r="D9" s="101" t="s">
        <v>10</v>
      </c>
    </row>
    <row r="10" spans="2:5" ht="20" customHeight="1" x14ac:dyDescent="0.2">
      <c r="B10" s="103" t="s">
        <v>11</v>
      </c>
      <c r="C10" s="105">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Controls'!$J$5:$J$16,"N/A")))*4),0)</f>
        <v>0.21855345911949686</v>
      </c>
      <c r="D10" s="106" t="str">
        <f>REPT("|",ROUND(C10*100,0))</f>
        <v>||||||||||||||||||||||</v>
      </c>
      <c r="E10" s="101" t="str">
        <f>TEXT(C10,"0.0%")&amp;" of the maximum achievable score"</f>
        <v>21.9% of the maximum achievable score</v>
      </c>
    </row>
    <row r="11" spans="2:5" ht="20" customHeight="1" x14ac:dyDescent="0.2">
      <c r="B11" s="103" t="s">
        <v>12</v>
      </c>
      <c r="C11" s="107">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Controls'!$J$5:$J$16,"&gt;=0")),0)</f>
        <v>0.87421383647798745</v>
      </c>
      <c r="D11" s="101" t="s">
        <v>13</v>
      </c>
    </row>
    <row r="12" spans="2:5" ht="20" customHeight="1" x14ac:dyDescent="0.2">
      <c r="B12" s="103" t="s">
        <v>14</v>
      </c>
      <c r="C12" s="104">
        <f>COUNTIFS('CC1 Controls'!$B$5:$B$39,"&lt;&gt;",'CC1 Controls'!$J$5:$J$39,"&lt;2")+COUNTIFS('CC2 Controls'!$B$5:$B$24,"&lt;&gt;",'CC2 Controls'!$J$5:$J$24,"&lt;2")+COUNTIFS('CC3 Controls'!$B$5:$B$28,"&lt;&gt;",'CC3 Controls'!$J$5:$J$28,"&lt;2")+COUNTIFS('CC4 Controls'!$B$5:$B$19,"&lt;&gt;",'CC4 Controls'!$J$5:$J$19,"&lt;2")+COUNTIFS('CC5 Controls'!$B$5:$B$19,"&lt;&gt;",'CC5 Controls'!$J$5:$J$19,"&lt;2")+COUNTIFS('CC6 Controls'!$B$5:$B$44,"&lt;&gt;",'CC6 Controls'!$J$5:$J$44,"&lt;2")+COUNTIFS('CC7 Controls'!$B$5:$B$30,"&lt;&gt;",'CC7 Controls'!$J$5:$J$30,"&lt;2")+COUNTIFS('CC8 Controls'!$B$5:$B$12,"&lt;&gt;",'CC8 Controls'!$J$5:$J$12,"&lt;2")+COUNTIFS('CC9 Controls'!$B$5:$B$16,"&lt;&gt;",'CC9 Controls'!$J$5:$J$16,"&lt;2")</f>
        <v>158</v>
      </c>
      <c r="D12" s="101" t="s">
        <v>15</v>
      </c>
    </row>
    <row r="13" spans="2:5" ht="20" customHeight="1" x14ac:dyDescent="0.2">
      <c r="B13" s="103" t="s">
        <v>16</v>
      </c>
      <c r="C13" s="104">
        <f>COUNTIFS('CC1 Controls'!$B$5:$B$39,"&lt;&gt;",'CC1 Controls'!$J$5:$J$39,"&lt;3")+COUNTIFS('CC2 Controls'!$B$5:$B$24,"&lt;&gt;",'CC2 Controls'!$J$5:$J$24,"&lt;3")+COUNTIFS('CC3 Controls'!$B$5:$B$28,"&lt;&gt;",'CC3 Controls'!$J$5:$J$28,"&lt;3")+COUNTIFS('CC4 Controls'!$B$5:$B$19,"&lt;&gt;",'CC4 Controls'!$J$5:$J$19,"&lt;3")+COUNTIFS('CC5 Controls'!$B$5:$B$19,"&lt;&gt;",'CC5 Controls'!$J$5:$J$19,"&lt;3")+COUNTIFS('CC6 Controls'!$B$5:$B$44,"&lt;&gt;",'CC6 Controls'!$J$5:$J$44,"&lt;3")+COUNTIFS('CC7 Controls'!$B$5:$B$30,"&lt;&gt;",'CC7 Controls'!$J$5:$J$30,"&lt;3")+COUNTIFS('CC8 Controls'!$B$5:$B$12,"&lt;&gt;",'CC8 Controls'!$J$5:$J$12,"&lt;3")+COUNTIFS('CC9 Controls'!$B$5:$B$16,"&lt;&gt;",'CC9 Controls'!$J$5:$J$16,"&lt;3")</f>
        <v>159</v>
      </c>
      <c r="D13" s="101" t="s">
        <v>17</v>
      </c>
    </row>
    <row r="15" spans="2:5" ht="26" customHeight="1" x14ac:dyDescent="0.2">
      <c r="B15" s="102" t="s">
        <v>18</v>
      </c>
    </row>
    <row r="16" spans="2:5" ht="32" customHeight="1" x14ac:dyDescent="0.2">
      <c r="B16" s="108" t="s">
        <v>19</v>
      </c>
      <c r="C16" s="108" t="s">
        <v>20</v>
      </c>
      <c r="D16" s="108" t="s">
        <v>21</v>
      </c>
      <c r="E16" s="108" t="s">
        <v>22</v>
      </c>
    </row>
    <row r="17" spans="2:10" ht="19" customHeight="1" x14ac:dyDescent="0.2">
      <c r="B17" s="109" t="s">
        <v>23</v>
      </c>
      <c r="C17" s="110">
        <f>COUNTIFS('CC1 Controls'!$B$5:$B$39,"&lt;&gt;",'CC1 Controls'!$J$5:$J$39,0)+COUNTIFS('CC2 Controls'!$B$5:$B$24,"&lt;&gt;",'CC2 Controls'!$J$5:$J$24,0)+COUNTIFS('CC3 Controls'!$B$5:$B$28,"&lt;&gt;",'CC3 Controls'!$J$5:$J$28,0)+COUNTIFS('CC4 Controls'!$B$5:$B$19,"&lt;&gt;",'CC4 Controls'!$J$5:$J$19,0)+COUNTIFS('CC5 Controls'!$B$5:$B$19,"&lt;&gt;",'CC5 Controls'!$J$5:$J$19,0)+COUNTIFS('CC6 Controls'!$B$5:$B$44,"&lt;&gt;",'CC6 Controls'!$J$5:$J$44,0)+COUNTIFS('CC7 Controls'!$B$5:$B$30,"&lt;&gt;",'CC7 Controls'!$J$5:$J$30,0)+COUNTIFS('CC8 Controls'!$B$5:$B$12,"&lt;&gt;",'CC8 Controls'!$J$5:$J$12,0)+COUNTIFS('CC9 Controls'!$B$5:$B$16,"&lt;&gt;",'CC9 Controls'!$J$5:$J$16,0)</f>
        <v>21</v>
      </c>
      <c r="D17" s="111">
        <f t="shared" ref="D17:D22" si="0">IFERROR(C17/$C$6,0)</f>
        <v>0.13125000000000001</v>
      </c>
      <c r="E17" s="112" t="str">
        <f t="shared" ref="E17:E22" si="1">REPT("|",ROUND(C17/$C$6*60,0))</f>
        <v>||||||||</v>
      </c>
    </row>
    <row r="18" spans="2:10" ht="19" customHeight="1" x14ac:dyDescent="0.2">
      <c r="B18" s="109" t="s">
        <v>24</v>
      </c>
      <c r="C18" s="110">
        <f>COUNTIFS('CC1 Controls'!$B$5:$B$39,"&lt;&gt;",'CC1 Controls'!$J$5:$J$39,1)+COUNTIFS('CC2 Controls'!$B$5:$B$24,"&lt;&gt;",'CC2 Controls'!$J$5:$J$24,1)+COUNTIFS('CC3 Controls'!$B$5:$B$28,"&lt;&gt;",'CC3 Controls'!$J$5:$J$28,1)+COUNTIFS('CC4 Controls'!$B$5:$B$19,"&lt;&gt;",'CC4 Controls'!$J$5:$J$19,1)+COUNTIFS('CC5 Controls'!$B$5:$B$19,"&lt;&gt;",'CC5 Controls'!$J$5:$J$19,1)+COUNTIFS('CC6 Controls'!$B$5:$B$44,"&lt;&gt;",'CC6 Controls'!$J$5:$J$44,1)+COUNTIFS('CC7 Controls'!$B$5:$B$30,"&lt;&gt;",'CC7 Controls'!$J$5:$J$30,1)+COUNTIFS('CC8 Controls'!$B$5:$B$12,"&lt;&gt;",'CC8 Controls'!$J$5:$J$12,1)+COUNTIFS('CC9 Controls'!$B$5:$B$16,"&lt;&gt;",'CC9 Controls'!$J$5:$J$16,1)</f>
        <v>137</v>
      </c>
      <c r="D18" s="111">
        <f t="shared" si="0"/>
        <v>0.85624999999999996</v>
      </c>
      <c r="E18" s="112" t="str">
        <f t="shared" si="1"/>
        <v>|||||||||||||||||||||||||||||||||||||||||||||||||||</v>
      </c>
    </row>
    <row r="19" spans="2:10" ht="19" customHeight="1" x14ac:dyDescent="0.2">
      <c r="B19" s="109" t="s">
        <v>25</v>
      </c>
      <c r="C19" s="110">
        <f>COUNTIFS('CC1 Controls'!$B$5:$B$39,"&lt;&gt;",'CC1 Controls'!$J$5:$J$39,2)+COUNTIFS('CC2 Controls'!$B$5:$B$24,"&lt;&gt;",'CC2 Controls'!$J$5:$J$24,2)+COUNTIFS('CC3 Controls'!$B$5:$B$28,"&lt;&gt;",'CC3 Controls'!$J$5:$J$28,2)+COUNTIFS('CC4 Controls'!$B$5:$B$19,"&lt;&gt;",'CC4 Controls'!$J$5:$J$19,2)+COUNTIFS('CC5 Controls'!$B$5:$B$19,"&lt;&gt;",'CC5 Controls'!$J$5:$J$19,2)+COUNTIFS('CC6 Controls'!$B$5:$B$44,"&lt;&gt;",'CC6 Controls'!$J$5:$J$44,2)+COUNTIFS('CC7 Controls'!$B$5:$B$30,"&lt;&gt;",'CC7 Controls'!$J$5:$J$30,2)+COUNTIFS('CC8 Controls'!$B$5:$B$12,"&lt;&gt;",'CC8 Controls'!$J$5:$J$12,2)+COUNTIFS('CC9 Controls'!$B$5:$B$16,"&lt;&gt;",'CC9 Controls'!$J$5:$J$16,2)</f>
        <v>1</v>
      </c>
      <c r="D19" s="111">
        <f t="shared" si="0"/>
        <v>6.2500000000000003E-3</v>
      </c>
      <c r="E19" s="112" t="str">
        <f t="shared" si="1"/>
        <v/>
      </c>
    </row>
    <row r="20" spans="2:10" ht="19" customHeight="1" x14ac:dyDescent="0.2">
      <c r="B20" s="109" t="s">
        <v>26</v>
      </c>
      <c r="C20" s="110">
        <f>COUNTIFS('CC1 Controls'!$B$5:$B$39,"&lt;&gt;",'CC1 Controls'!$J$5:$J$39,3)+COUNTIFS('CC2 Controls'!$B$5:$B$24,"&lt;&gt;",'CC2 Controls'!$J$5:$J$24,3)+COUNTIFS('CC3 Controls'!$B$5:$B$28,"&lt;&gt;",'CC3 Controls'!$J$5:$J$28,3)+COUNTIFS('CC4 Controls'!$B$5:$B$19,"&lt;&gt;",'CC4 Controls'!$J$5:$J$19,3)+COUNTIFS('CC5 Controls'!$B$5:$B$19,"&lt;&gt;",'CC5 Controls'!$J$5:$J$19,3)+COUNTIFS('CC6 Controls'!$B$5:$B$44,"&lt;&gt;",'CC6 Controls'!$J$5:$J$44,3)+COUNTIFS('CC7 Controls'!$B$5:$B$30,"&lt;&gt;",'CC7 Controls'!$J$5:$J$30,3)+COUNTIFS('CC8 Controls'!$B$5:$B$12,"&lt;&gt;",'CC8 Controls'!$J$5:$J$12,3)+COUNTIFS('CC9 Controls'!$B$5:$B$16,"&lt;&gt;",'CC9 Controls'!$J$5:$J$16,3)</f>
        <v>0</v>
      </c>
      <c r="D20" s="111">
        <f t="shared" si="0"/>
        <v>0</v>
      </c>
      <c r="E20" s="112" t="str">
        <f t="shared" si="1"/>
        <v/>
      </c>
    </row>
    <row r="21" spans="2:10" ht="19" customHeight="1" x14ac:dyDescent="0.2">
      <c r="B21" s="109" t="s">
        <v>27</v>
      </c>
      <c r="C21" s="110">
        <f>COUNTIFS('CC1 Controls'!$B$5:$B$39,"&lt;&gt;",'CC1 Controls'!$J$5:$J$39,4)+COUNTIFS('CC2 Controls'!$B$5:$B$24,"&lt;&gt;",'CC2 Controls'!$J$5:$J$24,4)+COUNTIFS('CC3 Controls'!$B$5:$B$28,"&lt;&gt;",'CC3 Controls'!$J$5:$J$28,4)+COUNTIFS('CC4 Controls'!$B$5:$B$19,"&lt;&gt;",'CC4 Controls'!$J$5:$J$19,4)+COUNTIFS('CC5 Controls'!$B$5:$B$19,"&lt;&gt;",'CC5 Controls'!$J$5:$J$19,4)+COUNTIFS('CC6 Controls'!$B$5:$B$44,"&lt;&gt;",'CC6 Controls'!$J$5:$J$44,4)+COUNTIFS('CC7 Controls'!$B$5:$B$30,"&lt;&gt;",'CC7 Controls'!$J$5:$J$30,4)+COUNTIFS('CC8 Controls'!$B$5:$B$12,"&lt;&gt;",'CC8 Controls'!$J$5:$J$12,4)+COUNTIFS('CC9 Controls'!$B$5:$B$16,"&lt;&gt;",'CC9 Controls'!$J$5:$J$16,4)</f>
        <v>0</v>
      </c>
      <c r="D21" s="111">
        <f t="shared" si="0"/>
        <v>0</v>
      </c>
      <c r="E21" s="112" t="str">
        <f t="shared" si="1"/>
        <v/>
      </c>
    </row>
    <row r="22" spans="2:10" ht="19" customHeight="1" x14ac:dyDescent="0.2">
      <c r="B22" s="109" t="s">
        <v>28</v>
      </c>
      <c r="C22" s="110">
        <f>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f>
        <v>1</v>
      </c>
      <c r="D22" s="111">
        <f t="shared" si="0"/>
        <v>6.2500000000000003E-3</v>
      </c>
      <c r="E22" s="112" t="str">
        <f t="shared" si="1"/>
        <v/>
      </c>
    </row>
    <row r="24" spans="2:10" ht="26" customHeight="1" x14ac:dyDescent="0.2">
      <c r="B24" s="102" t="s">
        <v>29</v>
      </c>
    </row>
    <row r="25" spans="2:10" ht="32" customHeight="1" x14ac:dyDescent="0.2">
      <c r="B25" s="108" t="s">
        <v>30</v>
      </c>
      <c r="C25" s="108" t="s">
        <v>20</v>
      </c>
      <c r="D25" s="108" t="s">
        <v>7</v>
      </c>
      <c r="E25" s="108" t="s">
        <v>12</v>
      </c>
      <c r="F25" s="108" t="s">
        <v>31</v>
      </c>
      <c r="G25" s="108" t="s">
        <v>32</v>
      </c>
      <c r="H25" s="108" t="s">
        <v>33</v>
      </c>
      <c r="I25" s="108" t="s">
        <v>34</v>
      </c>
      <c r="J25" s="108" t="s">
        <v>35</v>
      </c>
    </row>
    <row r="26" spans="2:10" ht="19" customHeight="1" x14ac:dyDescent="0.2">
      <c r="B26" s="103" t="s">
        <v>36</v>
      </c>
      <c r="C26" s="113">
        <f>COUNTIF('CC1 Controls'!$B$5:$B$39,"&lt;&gt;")</f>
        <v>28</v>
      </c>
      <c r="D26" s="113">
        <f>COUNTIFS('CC1 Controls'!$B$5:$B$39,"&lt;&gt;",'CC1 Controls'!$J$5:$J$39,"&gt;=0")</f>
        <v>27</v>
      </c>
      <c r="E26" s="114">
        <f>IFERROR(SUMIFS('CC1 Controls'!$J$5:$J$39,'CC1 Controls'!$B$5:$B$39,"&lt;&gt;")/COUNTIFS('CC1 Controls'!$B$5:$B$39,"&lt;&gt;",'CC1 Controls'!$J$5:$J$39,"&gt;=0"),0)</f>
        <v>0.55555555555555558</v>
      </c>
      <c r="F26" s="113">
        <f>COUNTIFS('CC1 Controls'!$B$5:$B$39,"&lt;&gt;",'CC1 Controls'!$J$5:$J$39,0)</f>
        <v>13</v>
      </c>
      <c r="G26" s="113">
        <f>COUNTIFS('CC1 Controls'!$B$5:$B$39,"&lt;&gt;",'CC1 Controls'!$J$5:$J$39,"&lt;3")</f>
        <v>27</v>
      </c>
      <c r="H26" s="113">
        <f>COUNTIFS('CC1 Controls'!$B$5:$B$39,"&lt;&gt;",'CC1 Controls'!$O$5:$O$39,"Yes")</f>
        <v>9</v>
      </c>
      <c r="I26" s="113">
        <f>COUNTIFS('CC1 Controls'!$B$5:$B$39,"&lt;&gt;",'CC1 Controls'!$O$5:$O$39,"Partial")</f>
        <v>10</v>
      </c>
      <c r="J26" s="113">
        <f>COUNTIFS('CC1 Controls'!$B$5:$B$39,"&lt;&gt;",'CC1 Controls'!$O$5:$O$39,"No")</f>
        <v>9</v>
      </c>
    </row>
    <row r="27" spans="2:10" ht="19" customHeight="1" x14ac:dyDescent="0.2">
      <c r="B27" s="103" t="s">
        <v>37</v>
      </c>
      <c r="C27" s="113">
        <f>COUNTIF('CC2 Controls'!$B$5:$B$24,"&lt;&gt;")</f>
        <v>17</v>
      </c>
      <c r="D27" s="113">
        <f>COUNTIFS('CC2 Controls'!$B$5:$B$24,"&lt;&gt;",'CC2 Controls'!$J$5:$J$24,"&gt;=0")</f>
        <v>17</v>
      </c>
      <c r="E27" s="114">
        <f>IFERROR(SUMIFS('CC2 Controls'!$J$5:$J$24,'CC2 Controls'!$B$5:$B$24,"&lt;&gt;")/COUNTIFS('CC2 Controls'!$B$5:$B$24,"&lt;&gt;",'CC2 Controls'!$J$5:$J$24,"&gt;=0"),0)</f>
        <v>0.70588235294117652</v>
      </c>
      <c r="F27" s="113">
        <f>COUNTIFS('CC2 Controls'!$B$5:$B$24,"&lt;&gt;",'CC2 Controls'!$J$5:$J$24,0)</f>
        <v>5</v>
      </c>
      <c r="G27" s="113">
        <f>COUNTIFS('CC2 Controls'!$B$5:$B$24,"&lt;&gt;",'CC2 Controls'!$J$5:$J$24,"&lt;3")</f>
        <v>17</v>
      </c>
      <c r="H27" s="113">
        <f>COUNTIFS('CC2 Controls'!$B$5:$B$24,"&lt;&gt;",'CC2 Controls'!$O$5:$O$24,"Yes")</f>
        <v>10</v>
      </c>
      <c r="I27" s="113">
        <f>COUNTIFS('CC2 Controls'!$B$5:$B$24,"&lt;&gt;",'CC2 Controls'!$O$5:$O$24,"Partial")</f>
        <v>4</v>
      </c>
      <c r="J27" s="113">
        <f>COUNTIFS('CC2 Controls'!$B$5:$B$24,"&lt;&gt;",'CC2 Controls'!$O$5:$O$24,"No")</f>
        <v>3</v>
      </c>
    </row>
    <row r="28" spans="2:10" ht="19" customHeight="1" x14ac:dyDescent="0.2">
      <c r="B28" s="103" t="s">
        <v>38</v>
      </c>
      <c r="C28" s="113">
        <f>COUNTIF('CC3 Controls'!$B$5:$B$28,"&lt;&gt;")</f>
        <v>20</v>
      </c>
      <c r="D28" s="113">
        <f>COUNTIFS('CC3 Controls'!$B$5:$B$28,"&lt;&gt;",'CC3 Controls'!$J$5:$J$28,"&gt;=0")</f>
        <v>20</v>
      </c>
      <c r="E28" s="114">
        <f>IFERROR(SUMIFS('CC3 Controls'!$J$5:$J$28,'CC3 Controls'!$B$5:$B$28,"&lt;&gt;")/COUNTIFS('CC3 Controls'!$B$5:$B$28,"&lt;&gt;",'CC3 Controls'!$J$5:$J$28,"&gt;=0"),0)</f>
        <v>0.9</v>
      </c>
      <c r="F28" s="113">
        <f>COUNTIFS('CC3 Controls'!$B$5:$B$28,"&lt;&gt;",'CC3 Controls'!$J$5:$J$28,0)</f>
        <v>2</v>
      </c>
      <c r="G28" s="113">
        <f>COUNTIFS('CC3 Controls'!$B$5:$B$28,"&lt;&gt;",'CC3 Controls'!$J$5:$J$28,"&lt;3")</f>
        <v>20</v>
      </c>
      <c r="H28" s="113">
        <f>COUNTIFS('CC3 Controls'!$B$5:$B$28,"&lt;&gt;",'CC3 Controls'!$O$5:$O$28,"Yes")</f>
        <v>14</v>
      </c>
      <c r="I28" s="113">
        <f>COUNTIFS('CC3 Controls'!$B$5:$B$28,"&lt;&gt;",'CC3 Controls'!$O$5:$O$28,"Partial")</f>
        <v>4</v>
      </c>
      <c r="J28" s="113">
        <f>COUNTIFS('CC3 Controls'!$B$5:$B$28,"&lt;&gt;",'CC3 Controls'!$O$5:$O$28,"No")</f>
        <v>2</v>
      </c>
    </row>
    <row r="29" spans="2:10" ht="19" customHeight="1" x14ac:dyDescent="0.2">
      <c r="B29" s="103" t="s">
        <v>39</v>
      </c>
      <c r="C29" s="113">
        <f>COUNTIF('CC4 Controls'!$B$5:$B$19,"&lt;&gt;")</f>
        <v>13</v>
      </c>
      <c r="D29" s="113">
        <f>COUNTIFS('CC4 Controls'!$B$5:$B$19,"&lt;&gt;",'CC4 Controls'!$J$5:$J$19,"&gt;=0")</f>
        <v>13</v>
      </c>
      <c r="E29" s="114">
        <f>IFERROR(SUMIFS('CC4 Controls'!$J$5:$J$19,'CC4 Controls'!$B$5:$B$19,"&lt;&gt;")/COUNTIFS('CC4 Controls'!$B$5:$B$19,"&lt;&gt;",'CC4 Controls'!$J$5:$J$19,"&gt;=0"),0)</f>
        <v>1</v>
      </c>
      <c r="F29" s="113">
        <f>COUNTIFS('CC4 Controls'!$B$5:$B$19,"&lt;&gt;",'CC4 Controls'!$J$5:$J$19,0)</f>
        <v>0</v>
      </c>
      <c r="G29" s="113">
        <f>COUNTIFS('CC4 Controls'!$B$5:$B$19,"&lt;&gt;",'CC4 Controls'!$J$5:$J$19,"&lt;3")</f>
        <v>13</v>
      </c>
      <c r="H29" s="113">
        <f>COUNTIFS('CC4 Controls'!$B$5:$B$19,"&lt;&gt;",'CC4 Controls'!$O$5:$O$19,"Yes")</f>
        <v>9</v>
      </c>
      <c r="I29" s="113">
        <f>COUNTIFS('CC4 Controls'!$B$5:$B$19,"&lt;&gt;",'CC4 Controls'!$O$5:$O$19,"Partial")</f>
        <v>4</v>
      </c>
      <c r="J29" s="113">
        <f>COUNTIFS('CC4 Controls'!$B$5:$B$19,"&lt;&gt;",'CC4 Controls'!$O$5:$O$19,"No")</f>
        <v>0</v>
      </c>
    </row>
    <row r="30" spans="2:10" ht="19" customHeight="1" x14ac:dyDescent="0.2">
      <c r="B30" s="103" t="s">
        <v>40</v>
      </c>
      <c r="C30" s="113">
        <f>COUNTIF('CC5 Controls'!$B$5:$B$19,"&lt;&gt;")</f>
        <v>12</v>
      </c>
      <c r="D30" s="113">
        <f>COUNTIFS('CC5 Controls'!$B$5:$B$19,"&lt;&gt;",'CC5 Controls'!$J$5:$J$19,"&gt;=0")</f>
        <v>12</v>
      </c>
      <c r="E30" s="114">
        <f>IFERROR(SUMIFS('CC5 Controls'!$J$5:$J$19,'CC5 Controls'!$B$5:$B$19,"&lt;&gt;")/COUNTIFS('CC5 Controls'!$B$5:$B$19,"&lt;&gt;",'CC5 Controls'!$J$5:$J$19,"&gt;=0"),0)</f>
        <v>1</v>
      </c>
      <c r="F30" s="113">
        <f>COUNTIFS('CC5 Controls'!$B$5:$B$19,"&lt;&gt;",'CC5 Controls'!$J$5:$J$19,0)</f>
        <v>0</v>
      </c>
      <c r="G30" s="113">
        <f>COUNTIFS('CC5 Controls'!$B$5:$B$19,"&lt;&gt;",'CC5 Controls'!$J$5:$J$19,"&lt;3")</f>
        <v>12</v>
      </c>
      <c r="H30" s="113">
        <f>COUNTIFS('CC5 Controls'!$B$5:$B$19,"&lt;&gt;",'CC5 Controls'!$O$5:$O$19,"Yes")</f>
        <v>10</v>
      </c>
      <c r="I30" s="113">
        <f>COUNTIFS('CC5 Controls'!$B$5:$B$19,"&lt;&gt;",'CC5 Controls'!$O$5:$O$19,"Partial")</f>
        <v>2</v>
      </c>
      <c r="J30" s="113">
        <f>COUNTIFS('CC5 Controls'!$B$5:$B$19,"&lt;&gt;",'CC5 Controls'!$O$5:$O$19,"No")</f>
        <v>0</v>
      </c>
    </row>
    <row r="31" spans="2:10" ht="19" customHeight="1" x14ac:dyDescent="0.2">
      <c r="B31" s="103" t="s">
        <v>41</v>
      </c>
      <c r="C31" s="113">
        <f>COUNTIF('CC6 Controls'!$B$5:$B$44,"&lt;&gt;")</f>
        <v>32</v>
      </c>
      <c r="D31" s="113">
        <f>COUNTIFS('CC6 Controls'!$B$5:$B$44,"&lt;&gt;",'CC6 Controls'!$J$5:$J$44,"&gt;=0")</f>
        <v>32</v>
      </c>
      <c r="E31" s="114">
        <f>IFERROR(SUMIFS('CC6 Controls'!$J$5:$J$44,'CC6 Controls'!$B$5:$B$44,"&lt;&gt;")/COUNTIFS('CC6 Controls'!$B$5:$B$44,"&lt;&gt;",'CC6 Controls'!$J$5:$J$44,"&gt;=0"),0)</f>
        <v>0.96875</v>
      </c>
      <c r="F31" s="113">
        <f>COUNTIFS('CC6 Controls'!$B$5:$B$44,"&lt;&gt;",'CC6 Controls'!$J$5:$J$44,0)</f>
        <v>1</v>
      </c>
      <c r="G31" s="113">
        <f>COUNTIFS('CC6 Controls'!$B$5:$B$44,"&lt;&gt;",'CC6 Controls'!$J$5:$J$44,"&lt;3")</f>
        <v>32</v>
      </c>
      <c r="H31" s="113">
        <f>COUNTIFS('CC6 Controls'!$B$5:$B$44,"&lt;&gt;",'CC6 Controls'!$O$5:$O$44,"Yes")</f>
        <v>31</v>
      </c>
      <c r="I31" s="113">
        <f>COUNTIFS('CC6 Controls'!$B$5:$B$44,"&lt;&gt;",'CC6 Controls'!$O$5:$O$44,"Partial")</f>
        <v>0</v>
      </c>
      <c r="J31" s="113">
        <f>COUNTIFS('CC6 Controls'!$B$5:$B$44,"&lt;&gt;",'CC6 Controls'!$O$5:$O$44,"No")</f>
        <v>1</v>
      </c>
    </row>
    <row r="32" spans="2:10" ht="19" customHeight="1" x14ac:dyDescent="0.2">
      <c r="B32" s="103" t="s">
        <v>42</v>
      </c>
      <c r="C32" s="113">
        <f>COUNTIF('CC7 Controls'!$B$5:$B$30,"&lt;&gt;")</f>
        <v>21</v>
      </c>
      <c r="D32" s="113">
        <f>COUNTIFS('CC7 Controls'!$B$5:$B$30,"&lt;&gt;",'CC7 Controls'!$J$5:$J$30,"&gt;=0")</f>
        <v>21</v>
      </c>
      <c r="E32" s="114">
        <f>IFERROR(SUMIFS('CC7 Controls'!$J$5:$J$30,'CC7 Controls'!$B$5:$B$30,"&lt;&gt;")/COUNTIFS('CC7 Controls'!$B$5:$B$30,"&lt;&gt;",'CC7 Controls'!$J$5:$J$30,"&gt;=0"),0)</f>
        <v>1</v>
      </c>
      <c r="F32" s="113">
        <f>COUNTIFS('CC7 Controls'!$B$5:$B$30,"&lt;&gt;",'CC7 Controls'!$J$5:$J$30,0)</f>
        <v>0</v>
      </c>
      <c r="G32" s="113">
        <f>COUNTIFS('CC7 Controls'!$B$5:$B$30,"&lt;&gt;",'CC7 Controls'!$J$5:$J$30,"&lt;3")</f>
        <v>21</v>
      </c>
      <c r="H32" s="113">
        <f>COUNTIFS('CC7 Controls'!$B$5:$B$30,"&lt;&gt;",'CC7 Controls'!$O$5:$O$30,"Yes")</f>
        <v>19</v>
      </c>
      <c r="I32" s="113">
        <f>COUNTIFS('CC7 Controls'!$B$5:$B$30,"&lt;&gt;",'CC7 Controls'!$O$5:$O$30,"Partial")</f>
        <v>2</v>
      </c>
      <c r="J32" s="113">
        <f>COUNTIFS('CC7 Controls'!$B$5:$B$30,"&lt;&gt;",'CC7 Controls'!$O$5:$O$30,"No")</f>
        <v>0</v>
      </c>
    </row>
    <row r="33" spans="2:10" ht="19" customHeight="1" x14ac:dyDescent="0.2">
      <c r="B33" s="103" t="s">
        <v>43</v>
      </c>
      <c r="C33" s="113">
        <f>COUNTIF('CC8 Controls'!$B$5:$B$12,"&lt;&gt;")</f>
        <v>7</v>
      </c>
      <c r="D33" s="113">
        <f>COUNTIFS('CC8 Controls'!$B$5:$B$12,"&lt;&gt;",'CC8 Controls'!$J$5:$J$12,"&gt;=0")</f>
        <v>7</v>
      </c>
      <c r="E33" s="114">
        <f>IFERROR(SUMIFS('CC8 Controls'!$J$5:$J$12,'CC8 Controls'!$B$5:$B$12,"&lt;&gt;")/COUNTIFS('CC8 Controls'!$B$5:$B$12,"&lt;&gt;",'CC8 Controls'!$J$5:$J$12,"&gt;=0"),0)</f>
        <v>1</v>
      </c>
      <c r="F33" s="113">
        <f>COUNTIFS('CC8 Controls'!$B$5:$B$12,"&lt;&gt;",'CC8 Controls'!$J$5:$J$12,0)</f>
        <v>0</v>
      </c>
      <c r="G33" s="113">
        <f>COUNTIFS('CC8 Controls'!$B$5:$B$12,"&lt;&gt;",'CC8 Controls'!$J$5:$J$12,"&lt;3")</f>
        <v>7</v>
      </c>
      <c r="H33" s="113">
        <f>COUNTIFS('CC8 Controls'!$B$5:$B$12,"&lt;&gt;",'CC8 Controls'!$O$5:$O$12,"Yes")</f>
        <v>7</v>
      </c>
      <c r="I33" s="113">
        <f>COUNTIFS('CC8 Controls'!$B$5:$B$12,"&lt;&gt;",'CC8 Controls'!$O$5:$O$12,"Partial")</f>
        <v>0</v>
      </c>
      <c r="J33" s="113">
        <f>COUNTIFS('CC8 Controls'!$B$5:$B$12,"&lt;&gt;",'CC8 Controls'!$O$5:$O$12,"No")</f>
        <v>0</v>
      </c>
    </row>
    <row r="34" spans="2:10" ht="19" customHeight="1" x14ac:dyDescent="0.2">
      <c r="B34" s="103" t="s">
        <v>44</v>
      </c>
      <c r="C34" s="113">
        <f>COUNTIF('CC9 Controls'!$B$5:$B$16,"&lt;&gt;")</f>
        <v>10</v>
      </c>
      <c r="D34" s="113">
        <f>COUNTIFS('CC9 Controls'!$B$5:$B$16,"&lt;&gt;",'CC9 Controls'!$J$5:$J$16,"&gt;=0")</f>
        <v>10</v>
      </c>
      <c r="E34" s="114">
        <f>IFERROR(SUMIFS('CC9 Controls'!$J$5:$J$16,'CC9 Controls'!$B$5:$B$16,"&lt;&gt;")/COUNTIFS('CC9 Controls'!$B$5:$B$16,"&lt;&gt;",'CC9 Controls'!$J$5:$J$16,"&gt;=0"),0)</f>
        <v>1</v>
      </c>
      <c r="F34" s="113">
        <f>COUNTIFS('CC9 Controls'!$B$5:$B$16,"&lt;&gt;",'CC9 Controls'!$J$5:$J$16,0)</f>
        <v>0</v>
      </c>
      <c r="G34" s="113">
        <f>COUNTIFS('CC9 Controls'!$B$5:$B$16,"&lt;&gt;",'CC9 Controls'!$J$5:$J$16,"&lt;3")</f>
        <v>10</v>
      </c>
      <c r="H34" s="113">
        <f>COUNTIFS('CC9 Controls'!$B$5:$B$16,"&lt;&gt;",'CC9 Controls'!$O$5:$O$16,"Yes")</f>
        <v>9</v>
      </c>
      <c r="I34" s="113">
        <f>COUNTIFS('CC9 Controls'!$B$5:$B$16,"&lt;&gt;",'CC9 Controls'!$O$5:$O$16,"Partial")</f>
        <v>1</v>
      </c>
      <c r="J34" s="113">
        <f>COUNTIFS('CC9 Controls'!$B$5:$B$16,"&lt;&gt;",'CC9 Controls'!$O$5:$O$16,"No")</f>
        <v>0</v>
      </c>
    </row>
    <row r="35" spans="2:10" ht="20" customHeight="1" x14ac:dyDescent="0.2">
      <c r="B35" s="115" t="s">
        <v>45</v>
      </c>
      <c r="C35" s="116">
        <f>COUNTIF('CC1 Controls'!$B$5:$B$39,"&lt;&gt;")+COUNTIF('CC2 Controls'!$B$5:$B$24,"&lt;&gt;")+COUNTIF('CC3 Controls'!$B$5:$B$28,"&lt;&gt;")+COUNTIF('CC4 Controls'!$B$5:$B$19,"&lt;&gt;")+COUNTIF('CC5 Controls'!$B$5:$B$19,"&lt;&gt;")+COUNTIF('CC6 Controls'!$B$5:$B$44,"&lt;&gt;")+COUNTIF('CC7 Controls'!$B$5:$B$30,"&lt;&gt;")+COUNTIF('CC8 Controls'!$B$5:$B$12,"&lt;&gt;")+COUNTIF('CC9 Controls'!$B$5:$B$16,"&lt;&gt;")</f>
        <v>160</v>
      </c>
      <c r="D35" s="116">
        <f>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f>
        <v>159</v>
      </c>
      <c r="E35" s="117">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Controls'!$J$5:$J$16,"&gt;=0")),0)</f>
        <v>0.87421383647798745</v>
      </c>
      <c r="F35" s="116">
        <f>COUNTIFS('CC1 Controls'!$B$5:$B$39,"&lt;&gt;",'CC1 Controls'!$J$5:$J$39,0)+COUNTIFS('CC2 Controls'!$B$5:$B$24,"&lt;&gt;",'CC2 Controls'!$J$5:$J$24,0)+COUNTIFS('CC3 Controls'!$B$5:$B$28,"&lt;&gt;",'CC3 Controls'!$J$5:$J$28,0)+COUNTIFS('CC4 Controls'!$B$5:$B$19,"&lt;&gt;",'CC4 Controls'!$J$5:$J$19,0)+COUNTIFS('CC5 Controls'!$B$5:$B$19,"&lt;&gt;",'CC5 Controls'!$J$5:$J$19,0)+COUNTIFS('CC6 Controls'!$B$5:$B$44,"&lt;&gt;",'CC6 Controls'!$J$5:$J$44,0)+COUNTIFS('CC7 Controls'!$B$5:$B$30,"&lt;&gt;",'CC7 Controls'!$J$5:$J$30,0)+COUNTIFS('CC8 Controls'!$B$5:$B$12,"&lt;&gt;",'CC8 Controls'!$J$5:$J$12,0)+COUNTIFS('CC9 Controls'!$B$5:$B$16,"&lt;&gt;",'CC9 Controls'!$J$5:$J$16,0)</f>
        <v>21</v>
      </c>
      <c r="G35" s="116">
        <f>COUNTIFS('CC1 Controls'!$B$5:$B$39,"&lt;&gt;",'CC1 Controls'!$J$5:$J$39,"&lt;3")+COUNTIFS('CC2 Controls'!$B$5:$B$24,"&lt;&gt;",'CC2 Controls'!$J$5:$J$24,"&lt;3")+COUNTIFS('CC3 Controls'!$B$5:$B$28,"&lt;&gt;",'CC3 Controls'!$J$5:$J$28,"&lt;3")+COUNTIFS('CC4 Controls'!$B$5:$B$19,"&lt;&gt;",'CC4 Controls'!$J$5:$J$19,"&lt;3")+COUNTIFS('CC5 Controls'!$B$5:$B$19,"&lt;&gt;",'CC5 Controls'!$J$5:$J$19,"&lt;3")+COUNTIFS('CC6 Controls'!$B$5:$B$44,"&lt;&gt;",'CC6 Controls'!$J$5:$J$44,"&lt;3")+COUNTIFS('CC7 Controls'!$B$5:$B$30,"&lt;&gt;",'CC7 Controls'!$J$5:$J$30,"&lt;3")+COUNTIFS('CC8 Controls'!$B$5:$B$12,"&lt;&gt;",'CC8 Controls'!$J$5:$J$12,"&lt;3")+COUNTIFS('CC9 Controls'!$B$5:$B$16,"&lt;&gt;",'CC9 Controls'!$J$5:$J$16,"&lt;3")</f>
        <v>159</v>
      </c>
      <c r="H35" s="116">
        <f>COUNTIFS('CC1 Controls'!$B$5:$B$39,"&lt;&gt;",'CC1 Controls'!$O$5:$O$39,"Yes")+COUNTIFS('CC2 Controls'!$B$5:$B$24,"&lt;&gt;",'CC2 Controls'!$O$5:$O$24,"Yes")+COUNTIFS('CC3 Controls'!$B$5:$B$28,"&lt;&gt;",'CC3 Controls'!$O$5:$O$28,"Yes")+COUNTIFS('CC4 Controls'!$B$5:$B$19,"&lt;&gt;",'CC4 Controls'!$O$5:$O$19,"Yes")+COUNTIFS('CC5 Controls'!$B$5:$B$19,"&lt;&gt;",'CC5 Controls'!$O$5:$O$19,"Yes")+COUNTIFS('CC6 Controls'!$B$5:$B$44,"&lt;&gt;",'CC6 Controls'!$O$5:$O$44,"Yes")+COUNTIFS('CC7 Controls'!$B$5:$B$30,"&lt;&gt;",'CC7 Controls'!$O$5:$O$30,"Yes")+COUNTIFS('CC8 Controls'!$B$5:$B$12,"&lt;&gt;",'CC8 Controls'!$O$5:$O$12,"Yes")+COUNTIFS('CC9 Controls'!$B$5:$B$16,"&lt;&gt;",'CC9 Controls'!$O$5:$O$16,"Yes")</f>
        <v>118</v>
      </c>
      <c r="I35" s="116">
        <f>COUNTIFS('CC1 Controls'!$B$5:$B$39,"&lt;&gt;",'CC1 Controls'!$O$5:$O$39,"Partial")+COUNTIFS('CC2 Controls'!$B$5:$B$24,"&lt;&gt;",'CC2 Controls'!$O$5:$O$24,"Partial")+COUNTIFS('CC3 Controls'!$B$5:$B$28,"&lt;&gt;",'CC3 Controls'!$O$5:$O$28,"Partial")+COUNTIFS('CC4 Controls'!$B$5:$B$19,"&lt;&gt;",'CC4 Controls'!$O$5:$O$19,"Partial")+COUNTIFS('CC5 Controls'!$B$5:$B$19,"&lt;&gt;",'CC5 Controls'!$O$5:$O$19,"Partial")+COUNTIFS('CC6 Controls'!$B$5:$B$44,"&lt;&gt;",'CC6 Controls'!$O$5:$O$44,"Partial")+COUNTIFS('CC7 Controls'!$B$5:$B$30,"&lt;&gt;",'CC7 Controls'!$O$5:$O$30,"Partial")+COUNTIFS('CC8 Controls'!$B$5:$B$12,"&lt;&gt;",'CC8 Controls'!$O$5:$O$12,"Partial")+COUNTIFS('CC9 Controls'!$B$5:$B$16,"&lt;&gt;",'CC9 Controls'!$O$5:$O$16,"Partial")</f>
        <v>27</v>
      </c>
      <c r="J35" s="116">
        <f>COUNTIFS('CC1 Controls'!$B$5:$B$39,"&lt;&gt;",'CC1 Controls'!$O$5:$O$39,"No")+COUNTIFS('CC2 Controls'!$B$5:$B$24,"&lt;&gt;",'CC2 Controls'!$O$5:$O$24,"No")+COUNTIFS('CC3 Controls'!$B$5:$B$28,"&lt;&gt;",'CC3 Controls'!$O$5:$O$28,"No")+COUNTIFS('CC4 Controls'!$B$5:$B$19,"&lt;&gt;",'CC4 Controls'!$O$5:$O$19,"No")+COUNTIFS('CC5 Controls'!$B$5:$B$19,"&lt;&gt;",'CC5 Controls'!$O$5:$O$19,"No")+COUNTIFS('CC6 Controls'!$B$5:$B$44,"&lt;&gt;",'CC6 Controls'!$O$5:$O$44,"No")+COUNTIFS('CC7 Controls'!$B$5:$B$30,"&lt;&gt;",'CC7 Controls'!$O$5:$O$30,"No")+COUNTIFS('CC8 Controls'!$B$5:$B$12,"&lt;&gt;",'CC8 Controls'!$O$5:$O$12,"No")+COUNTIFS('CC9 Controls'!$B$5:$B$16,"&lt;&gt;",'CC9 Controls'!$O$5:$O$16,"No")</f>
        <v>15</v>
      </c>
    </row>
    <row r="38" spans="2:10" ht="26" customHeight="1" x14ac:dyDescent="0.2">
      <c r="B38" s="102" t="s">
        <v>46</v>
      </c>
    </row>
    <row r="39" spans="2:10" x14ac:dyDescent="0.2">
      <c r="B39" s="101" t="s">
        <v>47</v>
      </c>
    </row>
    <row r="40" spans="2:10" ht="32" customHeight="1" x14ac:dyDescent="0.2">
      <c r="B40" s="108" t="s">
        <v>48</v>
      </c>
      <c r="C40" s="108" t="s">
        <v>49</v>
      </c>
      <c r="D40" s="108" t="s">
        <v>50</v>
      </c>
    </row>
    <row r="41" spans="2:10" ht="18" customHeight="1" x14ac:dyDescent="0.2">
      <c r="B41" s="103" t="s">
        <v>51</v>
      </c>
      <c r="C41" s="118" t="str">
        <f>IF('CC1 Controls'!J6=0,"Open",IF('CC1 Controls'!J6="","Not scored","Now level "&amp;'CC1 Controls'!J6))</f>
        <v>Open</v>
      </c>
      <c r="D41" s="119" t="s">
        <v>52</v>
      </c>
    </row>
    <row r="42" spans="2:10" ht="18" customHeight="1" x14ac:dyDescent="0.2">
      <c r="B42" s="103" t="s">
        <v>53</v>
      </c>
      <c r="C42" s="118" t="str">
        <f>IF('CC1 Controls'!J7=0,"Open",IF('CC1 Controls'!J7="","Not scored","Now level "&amp;'CC1 Controls'!J7))</f>
        <v>Open</v>
      </c>
      <c r="D42" s="119" t="s">
        <v>54</v>
      </c>
    </row>
    <row r="43" spans="2:10" ht="18" customHeight="1" x14ac:dyDescent="0.2">
      <c r="B43" s="103" t="s">
        <v>55</v>
      </c>
      <c r="C43" s="118" t="str">
        <f>IF('CC1 Controls'!J8=0,"Open",IF('CC1 Controls'!J8="","Not scored","Now level "&amp;'CC1 Controls'!J8))</f>
        <v>Open</v>
      </c>
      <c r="D43" s="119" t="s">
        <v>56</v>
      </c>
    </row>
    <row r="44" spans="2:10" ht="18" customHeight="1" x14ac:dyDescent="0.2">
      <c r="B44" s="103" t="s">
        <v>57</v>
      </c>
      <c r="C44" s="118" t="str">
        <f>IF('CC1 Controls'!J9=0,"Open",IF('CC1 Controls'!J9="","Not scored","Now level "&amp;'CC1 Controls'!J9))</f>
        <v>Open</v>
      </c>
      <c r="D44" s="119" t="s">
        <v>58</v>
      </c>
    </row>
    <row r="45" spans="2:10" ht="18" customHeight="1" x14ac:dyDescent="0.2">
      <c r="B45" s="103" t="s">
        <v>59</v>
      </c>
      <c r="C45" s="118" t="str">
        <f>IF('CC1 Controls'!J10=0,"Open",IF('CC1 Controls'!J10="","Not scored","Now level "&amp;'CC1 Controls'!J10))</f>
        <v>Open</v>
      </c>
      <c r="D45" s="119" t="s">
        <v>60</v>
      </c>
    </row>
    <row r="46" spans="2:10" ht="18" customHeight="1" x14ac:dyDescent="0.2">
      <c r="B46" s="103" t="s">
        <v>61</v>
      </c>
      <c r="C46" s="118" t="str">
        <f>IF('CC1 Controls'!J19=0,"Open",IF('CC1 Controls'!J19="","Not scored","Now level "&amp;'CC1 Controls'!J19))</f>
        <v>Open</v>
      </c>
      <c r="D46" s="119" t="s">
        <v>62</v>
      </c>
    </row>
    <row r="47" spans="2:10" ht="18" customHeight="1" x14ac:dyDescent="0.2">
      <c r="B47" s="103" t="s">
        <v>63</v>
      </c>
      <c r="C47" s="118" t="str">
        <f>IF('CC1 Controls'!J22=0,"Open",IF('CC1 Controls'!J22="","Not scored","Now level "&amp;'CC1 Controls'!J22))</f>
        <v>Open</v>
      </c>
      <c r="D47" s="119" t="s">
        <v>64</v>
      </c>
    </row>
    <row r="48" spans="2:10" ht="18" customHeight="1" x14ac:dyDescent="0.2">
      <c r="B48" s="103" t="s">
        <v>65</v>
      </c>
      <c r="C48" s="118" t="str">
        <f>IF('CC1 Controls'!J25=0,"Open",IF('CC1 Controls'!J25="","Not scored","Now level "&amp;'CC1 Controls'!J25))</f>
        <v>Open</v>
      </c>
      <c r="D48" s="119" t="s">
        <v>66</v>
      </c>
    </row>
    <row r="49" spans="2:4" ht="18" customHeight="1" x14ac:dyDescent="0.2">
      <c r="B49" s="103" t="s">
        <v>67</v>
      </c>
      <c r="C49" s="118" t="str">
        <f>IF('CC1 Controls'!J26=0,"Open",IF('CC1 Controls'!J26="","Not scored","Now level "&amp;'CC1 Controls'!J26))</f>
        <v>Open</v>
      </c>
      <c r="D49" s="119" t="s">
        <v>68</v>
      </c>
    </row>
    <row r="50" spans="2:4" ht="18" customHeight="1" x14ac:dyDescent="0.2">
      <c r="B50" s="103" t="s">
        <v>69</v>
      </c>
      <c r="C50" s="118" t="str">
        <f>IF('CC1 Controls'!J28=0,"Open",IF('CC1 Controls'!J28="","Not scored","Now level "&amp;'CC1 Controls'!J28))</f>
        <v>Open</v>
      </c>
      <c r="D50" s="119" t="s">
        <v>70</v>
      </c>
    </row>
    <row r="51" spans="2:4" ht="18" customHeight="1" x14ac:dyDescent="0.2">
      <c r="B51" s="103" t="s">
        <v>71</v>
      </c>
      <c r="C51" s="118" t="str">
        <f>IF('CC1 Controls'!J32=0,"Open",IF('CC1 Controls'!J32="","Not scored","Now level "&amp;'CC1 Controls'!J32))</f>
        <v>Open</v>
      </c>
      <c r="D51" s="119" t="s">
        <v>72</v>
      </c>
    </row>
    <row r="52" spans="2:4" ht="18" customHeight="1" x14ac:dyDescent="0.2">
      <c r="B52" s="103" t="s">
        <v>73</v>
      </c>
      <c r="C52" s="118" t="str">
        <f>IF('CC1 Controls'!J33=0,"Open",IF('CC1 Controls'!J33="","Not scored","Now level "&amp;'CC1 Controls'!J33))</f>
        <v>Open</v>
      </c>
      <c r="D52" s="119" t="s">
        <v>74</v>
      </c>
    </row>
    <row r="53" spans="2:4" ht="18" customHeight="1" x14ac:dyDescent="0.2">
      <c r="B53" s="103" t="s">
        <v>75</v>
      </c>
      <c r="C53" s="118" t="str">
        <f>IF('CC1 Controls'!J36=0,"Open",IF('CC1 Controls'!J36="","Not scored","Now level "&amp;'CC1 Controls'!J36))</f>
        <v>Open</v>
      </c>
      <c r="D53" s="119" t="s">
        <v>76</v>
      </c>
    </row>
    <row r="54" spans="2:4" ht="18" customHeight="1" x14ac:dyDescent="0.2">
      <c r="B54" s="103" t="s">
        <v>77</v>
      </c>
      <c r="C54" s="118" t="str">
        <f>IF('CC2 Controls'!J12=0,"Open",IF('CC2 Controls'!J12="","Not scored","Now level "&amp;'CC2 Controls'!J12))</f>
        <v>Open</v>
      </c>
      <c r="D54" s="119" t="s">
        <v>78</v>
      </c>
    </row>
    <row r="55" spans="2:4" ht="18" customHeight="1" x14ac:dyDescent="0.2">
      <c r="B55" s="103" t="s">
        <v>79</v>
      </c>
      <c r="C55" s="118" t="str">
        <f>IF('CC2 Controls'!J16=0,"Open",IF('CC2 Controls'!J16="","Not scored","Now level "&amp;'CC2 Controls'!J16))</f>
        <v>Open</v>
      </c>
      <c r="D55" s="119" t="s">
        <v>80</v>
      </c>
    </row>
    <row r="56" spans="2:4" ht="18" customHeight="1" x14ac:dyDescent="0.2">
      <c r="B56" s="103" t="s">
        <v>81</v>
      </c>
      <c r="C56" s="118" t="str">
        <f>IF('CC2 Controls'!J17=0,"Open",IF('CC2 Controls'!J17="","Not scored","Now level "&amp;'CC2 Controls'!J17))</f>
        <v>Open</v>
      </c>
      <c r="D56" s="119" t="s">
        <v>82</v>
      </c>
    </row>
    <row r="57" spans="2:4" ht="18" customHeight="1" x14ac:dyDescent="0.2">
      <c r="B57" s="103" t="s">
        <v>83</v>
      </c>
      <c r="C57" s="118" t="str">
        <f>IF('CC2 Controls'!J19=0,"Open",IF('CC2 Controls'!J19="","Not scored","Now level "&amp;'CC2 Controls'!J19))</f>
        <v>Open</v>
      </c>
      <c r="D57" s="119" t="s">
        <v>84</v>
      </c>
    </row>
    <row r="58" spans="2:4" ht="18" customHeight="1" x14ac:dyDescent="0.2">
      <c r="B58" s="103" t="s">
        <v>85</v>
      </c>
      <c r="C58" s="118" t="str">
        <f>IF('CC2 Controls'!J23=0,"Open",IF('CC2 Controls'!J23="","Not scored","Now level "&amp;'CC2 Controls'!J23))</f>
        <v>Open</v>
      </c>
      <c r="D58" s="119" t="s">
        <v>86</v>
      </c>
    </row>
    <row r="59" spans="2:4" ht="18" customHeight="1" x14ac:dyDescent="0.2">
      <c r="B59" s="103" t="s">
        <v>87</v>
      </c>
      <c r="C59" s="118" t="str">
        <f>IF('CC3 Controls'!J8=0,"Open",IF('CC3 Controls'!J8="","Not scored","Now level "&amp;'CC3 Controls'!J8))</f>
        <v>Open</v>
      </c>
      <c r="D59" s="119" t="s">
        <v>88</v>
      </c>
    </row>
    <row r="60" spans="2:4" ht="18" customHeight="1" x14ac:dyDescent="0.2">
      <c r="B60" s="103" t="s">
        <v>89</v>
      </c>
      <c r="C60" s="118" t="str">
        <f>IF('CC3 Controls'!J10=0,"Open",IF('CC3 Controls'!J10="","Not scored","Now level "&amp;'CC3 Controls'!J10))</f>
        <v>Open</v>
      </c>
      <c r="D60" s="119" t="s">
        <v>90</v>
      </c>
    </row>
    <row r="61" spans="2:4" ht="18" customHeight="1" x14ac:dyDescent="0.2">
      <c r="B61" s="103" t="s">
        <v>91</v>
      </c>
      <c r="C61" s="118" t="str">
        <f>IF('CC6 Controls'!J34=0,"Open",IF('CC6 Controls'!J34="","Not scored","Now level "&amp;'CC6 Controls'!J34))</f>
        <v>Open</v>
      </c>
      <c r="D61" s="119" t="s">
        <v>92</v>
      </c>
    </row>
    <row r="64" spans="2:4" ht="26" customHeight="1" x14ac:dyDescent="0.2">
      <c r="B64" s="102" t="s">
        <v>93</v>
      </c>
    </row>
    <row r="65" spans="2:4" ht="46" customHeight="1" x14ac:dyDescent="0.2">
      <c r="B65" s="120" t="s">
        <v>94</v>
      </c>
      <c r="D65" s="121" t="s">
        <v>95</v>
      </c>
    </row>
    <row r="66" spans="2:4" ht="46" customHeight="1" x14ac:dyDescent="0.2">
      <c r="B66" s="120" t="s">
        <v>96</v>
      </c>
      <c r="D66" s="121" t="s">
        <v>97</v>
      </c>
    </row>
    <row r="67" spans="2:4" ht="46" customHeight="1" x14ac:dyDescent="0.2">
      <c r="B67" s="120" t="s">
        <v>98</v>
      </c>
      <c r="D67" s="121" t="s">
        <v>99</v>
      </c>
    </row>
    <row r="68" spans="2:4" ht="46" customHeight="1" x14ac:dyDescent="0.2">
      <c r="B68" s="120" t="s">
        <v>100</v>
      </c>
      <c r="D68" s="121" t="s">
        <v>101</v>
      </c>
    </row>
    <row r="69" spans="2:4" ht="46" customHeight="1" x14ac:dyDescent="0.2">
      <c r="B69" s="120" t="s">
        <v>102</v>
      </c>
      <c r="D69" s="121" t="s">
        <v>103</v>
      </c>
    </row>
    <row r="70" spans="2:4" ht="46" customHeight="1" x14ac:dyDescent="0.2">
      <c r="B70" s="120" t="s">
        <v>104</v>
      </c>
      <c r="D70" s="121"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12"/>
  <sheetViews>
    <sheetView showGridLines="0" topLeftCell="A49" zoomScaleNormal="100" workbookViewId="0"/>
  </sheetViews>
  <sheetFormatPr baseColWidth="10" defaultColWidth="8.6640625" defaultRowHeight="17" x14ac:dyDescent="0.2"/>
  <cols>
    <col min="1" max="1" width="2" style="9" customWidth="1"/>
    <col min="2" max="2" width="28" style="9" customWidth="1"/>
    <col min="3" max="3" width="12" style="9" customWidth="1"/>
    <col min="4" max="4" width="92" style="9" customWidth="1"/>
    <col min="5" max="6" width="8.6640625" style="9" customWidth="1"/>
    <col min="7" max="16384" width="8.6640625" style="9"/>
  </cols>
  <sheetData>
    <row r="2" spans="2:4" x14ac:dyDescent="0.2">
      <c r="B2" s="8" t="s">
        <v>106</v>
      </c>
    </row>
    <row r="3" spans="2:4" x14ac:dyDescent="0.2">
      <c r="B3" s="10" t="s">
        <v>107</v>
      </c>
    </row>
    <row r="5" spans="2:4" x14ac:dyDescent="0.2">
      <c r="B5" s="8" t="s">
        <v>108</v>
      </c>
    </row>
    <row r="6" spans="2:4" ht="54" customHeight="1" x14ac:dyDescent="0.2">
      <c r="B6" s="11" t="s">
        <v>109</v>
      </c>
      <c r="D6" s="12" t="s">
        <v>110</v>
      </c>
    </row>
    <row r="7" spans="2:4" ht="36" customHeight="1" x14ac:dyDescent="0.2">
      <c r="B7" s="11" t="s">
        <v>111</v>
      </c>
      <c r="D7" s="12" t="s">
        <v>112</v>
      </c>
    </row>
    <row r="8" spans="2:4" ht="36" customHeight="1" x14ac:dyDescent="0.2">
      <c r="B8" s="11" t="s">
        <v>113</v>
      </c>
      <c r="D8" s="12" t="s">
        <v>114</v>
      </c>
    </row>
    <row r="9" spans="2:4" ht="18" customHeight="1" x14ac:dyDescent="0.2">
      <c r="B9" s="11" t="s">
        <v>115</v>
      </c>
      <c r="D9" s="12" t="s">
        <v>116</v>
      </c>
    </row>
    <row r="11" spans="2:4" x14ac:dyDescent="0.2">
      <c r="B11" s="8" t="s">
        <v>117</v>
      </c>
    </row>
    <row r="12" spans="2:4" ht="54" customHeight="1" x14ac:dyDescent="0.2">
      <c r="B12" s="11" t="s">
        <v>118</v>
      </c>
      <c r="D12" s="12" t="s">
        <v>119</v>
      </c>
    </row>
    <row r="13" spans="2:4" ht="36" customHeight="1" x14ac:dyDescent="0.2">
      <c r="B13" s="11" t="s">
        <v>120</v>
      </c>
      <c r="D13" s="12" t="s">
        <v>121</v>
      </c>
    </row>
    <row r="14" spans="2:4" ht="54" customHeight="1" x14ac:dyDescent="0.2">
      <c r="B14" s="11" t="s">
        <v>122</v>
      </c>
      <c r="D14" s="12" t="s">
        <v>123</v>
      </c>
    </row>
    <row r="16" spans="2:4" x14ac:dyDescent="0.2">
      <c r="B16" s="8" t="s">
        <v>124</v>
      </c>
    </row>
    <row r="17" spans="2:4" ht="72" customHeight="1" x14ac:dyDescent="0.2">
      <c r="B17" s="11" t="s">
        <v>125</v>
      </c>
      <c r="D17" s="12" t="s">
        <v>126</v>
      </c>
    </row>
    <row r="21" spans="2:4" ht="36" customHeight="1" x14ac:dyDescent="0.2">
      <c r="B21" s="8" t="s">
        <v>127</v>
      </c>
      <c r="D21" s="13" t="s">
        <v>128</v>
      </c>
    </row>
    <row r="23" spans="2:4" ht="36" customHeight="1" x14ac:dyDescent="0.2">
      <c r="B23" s="14" t="s">
        <v>28</v>
      </c>
      <c r="D23" s="12" t="s">
        <v>129</v>
      </c>
    </row>
    <row r="24" spans="2:4" ht="18" customHeight="1" x14ac:dyDescent="0.2">
      <c r="B24" s="15" t="s">
        <v>23</v>
      </c>
      <c r="D24" s="12" t="s">
        <v>130</v>
      </c>
    </row>
    <row r="25" spans="2:4" ht="18" customHeight="1" x14ac:dyDescent="0.2">
      <c r="B25" s="16" t="s">
        <v>24</v>
      </c>
      <c r="D25" s="12" t="s">
        <v>131</v>
      </c>
    </row>
    <row r="26" spans="2:4" ht="36" customHeight="1" x14ac:dyDescent="0.2">
      <c r="B26" s="17" t="s">
        <v>25</v>
      </c>
      <c r="D26" s="12" t="s">
        <v>132</v>
      </c>
    </row>
    <row r="27" spans="2:4" ht="36" customHeight="1" x14ac:dyDescent="0.2">
      <c r="B27" s="18" t="s">
        <v>26</v>
      </c>
      <c r="D27" s="12" t="s">
        <v>133</v>
      </c>
    </row>
    <row r="28" spans="2:4" ht="36" customHeight="1" x14ac:dyDescent="0.2">
      <c r="B28" s="19" t="s">
        <v>27</v>
      </c>
      <c r="D28" s="12" t="s">
        <v>134</v>
      </c>
    </row>
    <row r="30" spans="2:4" ht="36" customHeight="1" x14ac:dyDescent="0.2">
      <c r="B30" s="20" t="s">
        <v>135</v>
      </c>
      <c r="D30" s="13" t="s">
        <v>136</v>
      </c>
    </row>
    <row r="32" spans="2:4" x14ac:dyDescent="0.2">
      <c r="B32" s="8" t="s">
        <v>137</v>
      </c>
    </row>
    <row r="33" spans="2:4" x14ac:dyDescent="0.2">
      <c r="B33" s="21" t="s">
        <v>138</v>
      </c>
      <c r="C33" s="22">
        <f>COUNTIF('CC1 Controls'!$B$5:$B$39,"&lt;&gt;")+COUNTIF('CC2 Controls'!$B$5:$B$24,"&lt;&gt;")+COUNTIF('CC3 Controls'!$B$5:$B$28,"&lt;&gt;")+COUNTIF('CC4 Controls'!$B$5:$B$19,"&lt;&gt;")+COUNTIF('CC5 Controls'!$B$5:$B$19,"&lt;&gt;")+COUNTIF('CC6 Controls'!$B$5:$B$44,"&lt;&gt;")+COUNTIF('CC7 Controls'!$B$5:$B$30,"&lt;&gt;")+COUNTIF('CC8 Controls'!$B$5:$B$12,"&lt;&gt;")+COUNTIF('CC9 Controls'!$B$5:$B$16,"&lt;&gt;")</f>
        <v>160</v>
      </c>
    </row>
    <row r="34" spans="2:4" x14ac:dyDescent="0.2">
      <c r="B34" s="21" t="s">
        <v>139</v>
      </c>
      <c r="C34" s="22">
        <f>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f>
        <v>1</v>
      </c>
    </row>
    <row r="35" spans="2:4" x14ac:dyDescent="0.2">
      <c r="B35" s="21" t="s">
        <v>140</v>
      </c>
      <c r="C35" s="22">
        <f>((COUNTIF('CC1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f>
        <v>159</v>
      </c>
    </row>
    <row r="36" spans="2:4" x14ac:dyDescent="0.2">
      <c r="B36" s="21" t="s">
        <v>141</v>
      </c>
      <c r="C36" s="22">
        <f>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f>
        <v>159</v>
      </c>
    </row>
    <row r="37" spans="2:4" x14ac:dyDescent="0.2">
      <c r="B37" s="21" t="s">
        <v>142</v>
      </c>
      <c r="C37" s="22">
        <f>((COUNTIF('CC1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f>
        <v>1</v>
      </c>
    </row>
    <row r="39" spans="2:4" x14ac:dyDescent="0.2">
      <c r="B39" s="21" t="s">
        <v>143</v>
      </c>
      <c r="C39" s="22">
        <f>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f>
        <v>139</v>
      </c>
    </row>
    <row r="40" spans="2:4" x14ac:dyDescent="0.2">
      <c r="B40" s="21" t="s">
        <v>144</v>
      </c>
      <c r="C40" s="22">
        <f>((COUNTIF('CC1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Controls'!$J$5:$J$16,"N/A")))*4</f>
        <v>636</v>
      </c>
    </row>
    <row r="41" spans="2:4" ht="18" customHeight="1" x14ac:dyDescent="0.2">
      <c r="B41" s="20" t="s">
        <v>11</v>
      </c>
      <c r="C41" s="23">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Controls'!$B$5:$B$16,"&lt;&gt;"))/(((COUNTIF('CC1 Controls'!$B$5:$B$39,"&lt;&gt;")+COUNTIF('CC2 Controls'!$B$5:$B$24,"&lt;&gt;")+COUNTIF('CC3 Controls'!$B$5:$B$28,"&lt;&gt;")+COUNTIF('CC4 Controls'!$B$5:$B$19,"&lt;&gt;")+COUNTIF('CC5 Controls'!$B$5:$B$19,"&lt;&gt;")+COUNTIF('CC6 Controls'!$B$5:$B$44,"&lt;&gt;")+COUNTIF('CC7 Controls'!$B$5:$B$30,"&lt;&gt;")+COUNTIF('CC8 Controls'!$B$5:$B$12,"&lt;&gt;")+COUNTIF('CC9 Controls'!$B$5:$B$16,"&lt;&gt;")) - (COUNTIFS('CC1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Controls'!$J$5:$J$16,"N/A")))*4),0)</f>
        <v>0.21855345911949686</v>
      </c>
      <c r="D41" s="13" t="s">
        <v>145</v>
      </c>
    </row>
    <row r="42" spans="2:4" x14ac:dyDescent="0.2">
      <c r="B42" s="21" t="s">
        <v>12</v>
      </c>
      <c r="C42" s="24">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Controls'!$J$5:$J$16,"&gt;=0")),0)</f>
        <v>0.87421383647798745</v>
      </c>
    </row>
    <row r="44" spans="2:4" x14ac:dyDescent="0.2">
      <c r="B44" s="25" t="s">
        <v>146</v>
      </c>
      <c r="C44" s="26">
        <f>COUNTIFS('CC1 Controls'!$B$5:$B$39,"&lt;&gt;",'CC1 Controls'!$J$5:$J$39,0)+COUNTIFS('CC2 Controls'!$B$5:$B$24,"&lt;&gt;",'CC2 Controls'!$J$5:$J$24,0)+COUNTIFS('CC3 Controls'!$B$5:$B$28,"&lt;&gt;",'CC3 Controls'!$J$5:$J$28,0)+COUNTIFS('CC4 Controls'!$B$5:$B$19,"&lt;&gt;",'CC4 Controls'!$J$5:$J$19,0)+COUNTIFS('CC5 Controls'!$B$5:$B$19,"&lt;&gt;",'CC5 Controls'!$J$5:$J$19,0)+COUNTIFS('CC6 Controls'!$B$5:$B$44,"&lt;&gt;",'CC6 Controls'!$J$5:$J$44,0)+COUNTIFS('CC7 Controls'!$B$5:$B$30,"&lt;&gt;",'CC7 Controls'!$J$5:$J$30,0)+COUNTIFS('CC8 Controls'!$B$5:$B$12,"&lt;&gt;",'CC8 Controls'!$J$5:$J$12,0)+COUNTIFS('CC9 Controls'!$B$5:$B$16,"&lt;&gt;",'CC9 Controls'!$J$5:$J$16,0)</f>
        <v>21</v>
      </c>
    </row>
    <row r="45" spans="2:4" x14ac:dyDescent="0.2">
      <c r="B45" s="27" t="s">
        <v>147</v>
      </c>
      <c r="C45" s="28">
        <f>COUNTIFS('CC1 Controls'!$B$5:$B$39,"&lt;&gt;",'CC1 Controls'!$J$5:$J$39,1)+COUNTIFS('CC2 Controls'!$B$5:$B$24,"&lt;&gt;",'CC2 Controls'!$J$5:$J$24,1)+COUNTIFS('CC3 Controls'!$B$5:$B$28,"&lt;&gt;",'CC3 Controls'!$J$5:$J$28,1)+COUNTIFS('CC4 Controls'!$B$5:$B$19,"&lt;&gt;",'CC4 Controls'!$J$5:$J$19,1)+COUNTIFS('CC5 Controls'!$B$5:$B$19,"&lt;&gt;",'CC5 Controls'!$J$5:$J$19,1)+COUNTIFS('CC6 Controls'!$B$5:$B$44,"&lt;&gt;",'CC6 Controls'!$J$5:$J$44,1)+COUNTIFS('CC7 Controls'!$B$5:$B$30,"&lt;&gt;",'CC7 Controls'!$J$5:$J$30,1)+COUNTIFS('CC8 Controls'!$B$5:$B$12,"&lt;&gt;",'CC8 Controls'!$J$5:$J$12,1)+COUNTIFS('CC9 Controls'!$B$5:$B$16,"&lt;&gt;",'CC9 Controls'!$J$5:$J$16,1)</f>
        <v>137</v>
      </c>
    </row>
    <row r="46" spans="2:4" x14ac:dyDescent="0.2">
      <c r="B46" s="29" t="s">
        <v>148</v>
      </c>
      <c r="C46" s="30">
        <f>COUNTIFS('CC1 Controls'!$B$5:$B$39,"&lt;&gt;",'CC1 Controls'!$J$5:$J$39,2)+COUNTIFS('CC2 Controls'!$B$5:$B$24,"&lt;&gt;",'CC2 Controls'!$J$5:$J$24,2)+COUNTIFS('CC3 Controls'!$B$5:$B$28,"&lt;&gt;",'CC3 Controls'!$J$5:$J$28,2)+COUNTIFS('CC4 Controls'!$B$5:$B$19,"&lt;&gt;",'CC4 Controls'!$J$5:$J$19,2)+COUNTIFS('CC5 Controls'!$B$5:$B$19,"&lt;&gt;",'CC5 Controls'!$J$5:$J$19,2)+COUNTIFS('CC6 Controls'!$B$5:$B$44,"&lt;&gt;",'CC6 Controls'!$J$5:$J$44,2)+COUNTIFS('CC7 Controls'!$B$5:$B$30,"&lt;&gt;",'CC7 Controls'!$J$5:$J$30,2)+COUNTIFS('CC8 Controls'!$B$5:$B$12,"&lt;&gt;",'CC8 Controls'!$J$5:$J$12,2)+COUNTIFS('CC9 Controls'!$B$5:$B$16,"&lt;&gt;",'CC9 Controls'!$J$5:$J$16,2)</f>
        <v>1</v>
      </c>
    </row>
    <row r="47" spans="2:4" x14ac:dyDescent="0.2">
      <c r="B47" s="31" t="s">
        <v>149</v>
      </c>
      <c r="C47" s="32">
        <f>COUNTIFS('CC1 Controls'!$B$5:$B$39,"&lt;&gt;",'CC1 Controls'!$J$5:$J$39,3)+COUNTIFS('CC2 Controls'!$B$5:$B$24,"&lt;&gt;",'CC2 Controls'!$J$5:$J$24,3)+COUNTIFS('CC3 Controls'!$B$5:$B$28,"&lt;&gt;",'CC3 Controls'!$J$5:$J$28,3)+COUNTIFS('CC4 Controls'!$B$5:$B$19,"&lt;&gt;",'CC4 Controls'!$J$5:$J$19,3)+COUNTIFS('CC5 Controls'!$B$5:$B$19,"&lt;&gt;",'CC5 Controls'!$J$5:$J$19,3)+COUNTIFS('CC6 Controls'!$B$5:$B$44,"&lt;&gt;",'CC6 Controls'!$J$5:$J$44,3)+COUNTIFS('CC7 Controls'!$B$5:$B$30,"&lt;&gt;",'CC7 Controls'!$J$5:$J$30,3)+COUNTIFS('CC8 Controls'!$B$5:$B$12,"&lt;&gt;",'CC8 Controls'!$J$5:$J$12,3)+COUNTIFS('CC9 Controls'!$B$5:$B$16,"&lt;&gt;",'CC9 Controls'!$J$5:$J$16,3)</f>
        <v>0</v>
      </c>
    </row>
    <row r="48" spans="2:4" x14ac:dyDescent="0.2">
      <c r="B48" s="33" t="s">
        <v>150</v>
      </c>
      <c r="C48" s="34">
        <f>COUNTIFS('CC1 Controls'!$B$5:$B$39,"&lt;&gt;",'CC1 Controls'!$J$5:$J$39,4)+COUNTIFS('CC2 Controls'!$B$5:$B$24,"&lt;&gt;",'CC2 Controls'!$J$5:$J$24,4)+COUNTIFS('CC3 Controls'!$B$5:$B$28,"&lt;&gt;",'CC3 Controls'!$J$5:$J$28,4)+COUNTIFS('CC4 Controls'!$B$5:$B$19,"&lt;&gt;",'CC4 Controls'!$J$5:$J$19,4)+COUNTIFS('CC5 Controls'!$B$5:$B$19,"&lt;&gt;",'CC5 Controls'!$J$5:$J$19,4)+COUNTIFS('CC6 Controls'!$B$5:$B$44,"&lt;&gt;",'CC6 Controls'!$J$5:$J$44,4)+COUNTIFS('CC7 Controls'!$B$5:$B$30,"&lt;&gt;",'CC7 Controls'!$J$5:$J$30,4)+COUNTIFS('CC8 Controls'!$B$5:$B$12,"&lt;&gt;",'CC8 Controls'!$J$5:$J$12,4)+COUNTIFS('CC9 Controls'!$B$5:$B$16,"&lt;&gt;",'CC9 Controls'!$J$5:$J$16,4)</f>
        <v>0</v>
      </c>
    </row>
    <row r="49" spans="2:4" x14ac:dyDescent="0.2">
      <c r="B49" s="35" t="s">
        <v>28</v>
      </c>
      <c r="C49" s="36">
        <f>COUNTIFS('CC1 Controls'!$B$5:$B$39,"&lt;&gt;",'CC1 Controls'!$J$5:$J$39,"N/A")+COUNTIFS('CC2 Controls'!$B$5:$B$24,"&lt;&gt;",'CC2 Controls'!$J$5:$J$24,"N/A")+COUNTIFS('CC3 Controls'!$B$5:$B$28,"&lt;&gt;",'CC3 Controls'!$J$5:$J$28,"N/A")+COUNTIFS('CC4 Controls'!$B$5:$B$19,"&lt;&gt;",'CC4 Controls'!$J$5:$J$19,"N/A")+COUNTIFS('CC5 Controls'!$B$5:$B$19,"&lt;&gt;",'CC5 Controls'!$J$5:$J$19,"N/A")+COUNTIFS('CC6 Controls'!$B$5:$B$44,"&lt;&gt;",'CC6 Controls'!$J$5:$J$44,"N/A")+COUNTIFS('CC7 Controls'!$B$5:$B$30,"&lt;&gt;",'CC7 Controls'!$J$5:$J$30,"N/A")+COUNTIFS('CC8 Controls'!$B$5:$B$12,"&lt;&gt;",'CC8 Controls'!$J$5:$J$12,"N/A")+COUNTIFS('CC9 Controls'!$B$5:$B$16,"&lt;&gt;",'CC9 Controls'!$J$5:$J$16,"N/A")</f>
        <v>1</v>
      </c>
    </row>
    <row r="51" spans="2:4" ht="18" customHeight="1" x14ac:dyDescent="0.2">
      <c r="B51" s="20" t="s">
        <v>151</v>
      </c>
      <c r="C51" s="37">
        <f>COUNTIFS('CC1 Controls'!$B$5:$B$39,"&lt;&gt;",'CC1 Controls'!$J$5:$J$39,"&lt;2")+COUNTIFS('CC2 Controls'!$B$5:$B$24,"&lt;&gt;",'CC2 Controls'!$J$5:$J$24,"&lt;2")+COUNTIFS('CC3 Controls'!$B$5:$B$28,"&lt;&gt;",'CC3 Controls'!$J$5:$J$28,"&lt;2")+COUNTIFS('CC4 Controls'!$B$5:$B$19,"&lt;&gt;",'CC4 Controls'!$J$5:$J$19,"&lt;2")+COUNTIFS('CC5 Controls'!$B$5:$B$19,"&lt;&gt;",'CC5 Controls'!$J$5:$J$19,"&lt;2")+COUNTIFS('CC6 Controls'!$B$5:$B$44,"&lt;&gt;",'CC6 Controls'!$J$5:$J$44,"&lt;2")+COUNTIFS('CC7 Controls'!$B$5:$B$30,"&lt;&gt;",'CC7 Controls'!$J$5:$J$30,"&lt;2")+COUNTIFS('CC8 Controls'!$B$5:$B$12,"&lt;&gt;",'CC8 Controls'!$J$5:$J$12,"&lt;2")+COUNTIFS('CC9 Controls'!$B$5:$B$16,"&lt;&gt;",'CC9 Controls'!$J$5:$J$16,"&lt;2")</f>
        <v>158</v>
      </c>
      <c r="D51" s="13" t="s">
        <v>152</v>
      </c>
    </row>
    <row r="52" spans="2:4" ht="18" customHeight="1" x14ac:dyDescent="0.2">
      <c r="B52" s="20" t="s">
        <v>153</v>
      </c>
      <c r="C52" s="37">
        <f>COUNTIFS('CC1 Controls'!$B$5:$B$39,"&lt;&gt;",'CC1 Controls'!$J$5:$J$39,"&lt;3")+COUNTIFS('CC2 Controls'!$B$5:$B$24,"&lt;&gt;",'CC2 Controls'!$J$5:$J$24,"&lt;3")+COUNTIFS('CC3 Controls'!$B$5:$B$28,"&lt;&gt;",'CC3 Controls'!$J$5:$J$28,"&lt;3")+COUNTIFS('CC4 Controls'!$B$5:$B$19,"&lt;&gt;",'CC4 Controls'!$J$5:$J$19,"&lt;3")+COUNTIFS('CC5 Controls'!$B$5:$B$19,"&lt;&gt;",'CC5 Controls'!$J$5:$J$19,"&lt;3")+COUNTIFS('CC6 Controls'!$B$5:$B$44,"&lt;&gt;",'CC6 Controls'!$J$5:$J$44,"&lt;3")+COUNTIFS('CC7 Controls'!$B$5:$B$30,"&lt;&gt;",'CC7 Controls'!$J$5:$J$30,"&lt;3")+COUNTIFS('CC8 Controls'!$B$5:$B$12,"&lt;&gt;",'CC8 Controls'!$J$5:$J$12,"&lt;3")+COUNTIFS('CC9 Controls'!$B$5:$B$16,"&lt;&gt;",'CC9 Controls'!$J$5:$J$16,"&lt;3")</f>
        <v>159</v>
      </c>
      <c r="D52" s="13" t="s">
        <v>154</v>
      </c>
    </row>
    <row r="55" spans="2:4" ht="32" customHeight="1" x14ac:dyDescent="0.2">
      <c r="B55" s="8" t="s">
        <v>155</v>
      </c>
      <c r="D55" s="89" t="s">
        <v>156</v>
      </c>
    </row>
    <row r="56" spans="2:4" ht="18" customHeight="1" x14ac:dyDescent="0.2">
      <c r="B56" s="90" t="s">
        <v>157</v>
      </c>
      <c r="C56" s="91">
        <f>IFERROR((SUMIFS('CC1 Controls'!$J$5:$J$39,'CC1 Controls'!$B$5:$B$39,"&lt;&gt;"))/(COUNTIFS('CC1 Controls'!$B$5:$B$39,"&lt;&gt;",'CC1 Controls'!$J$5:$J$39,"&gt;=0")),0)</f>
        <v>0.55555555555555558</v>
      </c>
      <c r="D56" s="92" t="str">
        <f>IF((COUNTIFS('CC1 Controls'!$B$5:$B$39,"&lt;&gt;",'CC1 Controls'!$J$5:$J$39,"&gt;=0"))=0,"Control Environment  ·  not yet scored","Control Environment  ·  "&amp;(COUNTIFS('CC1 Controls'!$B$5:$B$39,"&lt;&gt;",'CC1 Controls'!$J$5:$J$39,0))&amp;" at level 0, "&amp;(COUNTIFS('CC1 Controls'!$B$5:$B$39,"&lt;&gt;",'CC1 Controls'!$J$5:$J$39,"&lt;3"))&amp;" below level 3")</f>
        <v>Control Environment  ·  13 at level 0, 27 below level 3</v>
      </c>
    </row>
    <row r="57" spans="2:4" ht="18" customHeight="1" x14ac:dyDescent="0.2">
      <c r="B57" s="93" t="s">
        <v>158</v>
      </c>
      <c r="C57" s="94">
        <f>IFERROR(AVERAGE('CC1 Controls'!J6:J11),0)</f>
        <v>0.16666666666666666</v>
      </c>
      <c r="D57" s="95" t="str">
        <f>IF(COUNT('CC1 Controls'!J6:J11)=0,"Integrity and ethical values  ·  not yet scored","Integrity and ethical values  ·  "&amp;COUNTIF('CC1 Controls'!J6:J11,0)&amp;" at level 0, "&amp;COUNTIFS('CC1 Controls'!J6:J11,"&lt;3")&amp;" below level 3")</f>
        <v>Integrity and ethical values  ·  5 at level 0, 6 below level 3</v>
      </c>
    </row>
    <row r="58" spans="2:4" ht="18" customHeight="1" x14ac:dyDescent="0.2">
      <c r="B58" s="93" t="s">
        <v>159</v>
      </c>
      <c r="C58" s="94">
        <f>IFERROR(AVERAGE('CC1 Controls'!J14:J19),0)</f>
        <v>1</v>
      </c>
      <c r="D58" s="95" t="str">
        <f>IF(COUNT('CC1 Controls'!J14:J19)=0,"Oversight of the control environment  ·  not yet scored","Oversight of the control environment  ·  "&amp;COUNTIF('CC1 Controls'!J14:J19,0)&amp;" at level 0, "&amp;COUNTIFS('CC1 Controls'!J14:J19,"&lt;3")&amp;" below level 3")</f>
        <v>Oversight of the control environment  ·  1 at level 0, 5 below level 3</v>
      </c>
    </row>
    <row r="59" spans="2:4" ht="18" customHeight="1" x14ac:dyDescent="0.2">
      <c r="B59" s="93" t="s">
        <v>160</v>
      </c>
      <c r="C59" s="94">
        <f>IFERROR(AVERAGE('CC1 Controls'!J22:J26),0)</f>
        <v>0.4</v>
      </c>
      <c r="D59" s="95" t="str">
        <f>IF(COUNT('CC1 Controls'!J22:J26)=0,"Structure, authority and responsibility  ·  not yet scored","Structure, authority and responsibility  ·  "&amp;COUNTIF('CC1 Controls'!J22:J26,0)&amp;" at level 0, "&amp;COUNTIFS('CC1 Controls'!J22:J26,"&lt;3")&amp;" below level 3")</f>
        <v>Structure, authority and responsibility  ·  3 at level 0, 5 below level 3</v>
      </c>
    </row>
    <row r="60" spans="2:4" ht="18" customHeight="1" x14ac:dyDescent="0.2">
      <c r="B60" s="93" t="s">
        <v>161</v>
      </c>
      <c r="C60" s="94">
        <f>IFERROR(AVERAGE('CC1 Controls'!J28:J33),0)</f>
        <v>0.5</v>
      </c>
      <c r="D60" s="95" t="str">
        <f>IF(COUNT('CC1 Controls'!J28:J33)=0,"Competence — attract, develop, retain  ·  not yet scored","Competence — attract, develop, retain  ·  "&amp;COUNTIF('CC1 Controls'!J28:J33,0)&amp;" at level 0, "&amp;COUNTIFS('CC1 Controls'!J28:J33,"&lt;3")&amp;" below level 3")</f>
        <v>Competence — attract, develop, retain  ·  3 at level 0, 6 below level 3</v>
      </c>
    </row>
    <row r="61" spans="2:4" ht="18" customHeight="1" x14ac:dyDescent="0.2">
      <c r="B61" s="93" t="s">
        <v>162</v>
      </c>
      <c r="C61" s="94">
        <f>IFERROR(AVERAGE('CC1 Controls'!J35:J39),0)</f>
        <v>0.8</v>
      </c>
      <c r="D61" s="95" t="str">
        <f>IF(COUNT('CC1 Controls'!J35:J39)=0,"Accountability for internal control  ·  not yet scored","Accountability for internal control  ·  "&amp;COUNTIF('CC1 Controls'!J35:J39,0)&amp;" at level 0, "&amp;COUNTIFS('CC1 Controls'!J35:J39,"&lt;3")&amp;" below level 3")</f>
        <v>Accountability for internal control  ·  1 at level 0, 5 below level 3</v>
      </c>
    </row>
    <row r="62" spans="2:4" ht="18" customHeight="1" x14ac:dyDescent="0.2">
      <c r="B62" s="90" t="s">
        <v>163</v>
      </c>
      <c r="C62" s="91">
        <f>IFERROR((SUMIFS('CC2 Controls'!$J$5:$J$24,'CC2 Controls'!$B$5:$B$24,"&lt;&gt;"))/(COUNTIFS('CC2 Controls'!$B$5:$B$24,"&lt;&gt;",'CC2 Controls'!$J$5:$J$24,"&gt;=0")),0)</f>
        <v>0.70588235294117652</v>
      </c>
      <c r="D62" s="92" t="str">
        <f>IF((COUNTIFS('CC2 Controls'!$B$5:$B$24,"&lt;&gt;",'CC2 Controls'!$J$5:$J$24,"&gt;=0"))=0,"Communication and Information  ·  not yet scored","Communication and Information  ·  "&amp;(COUNTIFS('CC2 Controls'!$B$5:$B$24,"&lt;&gt;",'CC2 Controls'!$J$5:$J$24,0))&amp;" at level 0, "&amp;(COUNTIFS('CC2 Controls'!$B$5:$B$24,"&lt;&gt;",'CC2 Controls'!$J$5:$J$24,"&lt;3"))&amp;" below level 3")</f>
        <v>Communication and Information  ·  5 at level 0, 17 below level 3</v>
      </c>
    </row>
    <row r="63" spans="2:4" ht="18" customHeight="1" x14ac:dyDescent="0.2">
      <c r="B63" s="93" t="s">
        <v>164</v>
      </c>
      <c r="C63" s="94">
        <f>IFERROR(AVERAGE('CC2 Controls'!J6:J10),0)</f>
        <v>1</v>
      </c>
      <c r="D63" s="95" t="str">
        <f>IF(COUNT('CC2 Controls'!J6:J10)=0,"Relevant, quality information  ·  not yet scored","Relevant, quality information  ·  "&amp;COUNTIF('CC2 Controls'!J6:J10,0)&amp;" at level 0, "&amp;COUNTIFS('CC2 Controls'!J6:J10,"&lt;3")&amp;" below level 3")</f>
        <v>Relevant, quality information  ·  0 at level 0, 5 below level 3</v>
      </c>
    </row>
    <row r="64" spans="2:4" ht="18" customHeight="1" x14ac:dyDescent="0.2">
      <c r="B64" s="93" t="s">
        <v>165</v>
      </c>
      <c r="C64" s="94">
        <f>IFERROR(AVERAGE('CC2 Controls'!J12:J17),0)</f>
        <v>0.5</v>
      </c>
      <c r="D64" s="95" t="str">
        <f>IF(COUNT('CC2 Controls'!J12:J17)=0,"Internal communication  ·  not yet scored","Internal communication  ·  "&amp;COUNTIF('CC2 Controls'!J12:J17,0)&amp;" at level 0, "&amp;COUNTIFS('CC2 Controls'!J12:J17,"&lt;3")&amp;" below level 3")</f>
        <v>Internal communication  ·  3 at level 0, 6 below level 3</v>
      </c>
    </row>
    <row r="65" spans="2:4" ht="18" customHeight="1" x14ac:dyDescent="0.2">
      <c r="B65" s="93" t="s">
        <v>166</v>
      </c>
      <c r="C65" s="94">
        <f>IFERROR(AVERAGE('CC2 Controls'!J19:J24),0)</f>
        <v>0.66666666666666663</v>
      </c>
      <c r="D65" s="95" t="str">
        <f>IF(COUNT('CC2 Controls'!J19:J24)=0,"External communication  ·  not yet scored","External communication  ·  "&amp;COUNTIF('CC2 Controls'!J19:J24,0)&amp;" at level 0, "&amp;COUNTIFS('CC2 Controls'!J19:J24,"&lt;3")&amp;" below level 3")</f>
        <v>External communication  ·  2 at level 0, 6 below level 3</v>
      </c>
    </row>
    <row r="66" spans="2:4" ht="18" customHeight="1" x14ac:dyDescent="0.2">
      <c r="B66" s="90" t="s">
        <v>167</v>
      </c>
      <c r="C66" s="91">
        <f>IFERROR((SUMIFS('CC3 Controls'!$J$5:$J$28,'CC3 Controls'!$B$5:$B$28,"&lt;&gt;"))/(COUNTIFS('CC3 Controls'!$B$5:$B$28,"&lt;&gt;",'CC3 Controls'!$J$5:$J$28,"&gt;=0")),0)</f>
        <v>0.9</v>
      </c>
      <c r="D66" s="92" t="str">
        <f>IF((COUNTIFS('CC3 Controls'!$B$5:$B$28,"&lt;&gt;",'CC3 Controls'!$J$5:$J$28,"&gt;=0"))=0,"Risk Assessment  ·  not yet scored","Risk Assessment  ·  "&amp;(COUNTIFS('CC3 Controls'!$B$5:$B$28,"&lt;&gt;",'CC3 Controls'!$J$5:$J$28,0))&amp;" at level 0, "&amp;(COUNTIFS('CC3 Controls'!$B$5:$B$28,"&lt;&gt;",'CC3 Controls'!$J$5:$J$28,"&lt;3"))&amp;" below level 3")</f>
        <v>Risk Assessment  ·  2 at level 0, 20 below level 3</v>
      </c>
    </row>
    <row r="67" spans="2:4" ht="18" customHeight="1" x14ac:dyDescent="0.2">
      <c r="B67" s="93" t="s">
        <v>168</v>
      </c>
      <c r="C67" s="94">
        <f>IFERROR(AVERAGE('CC3 Controls'!J6:J10),0)</f>
        <v>0.6</v>
      </c>
      <c r="D67" s="95" t="str">
        <f>IF(COUNT('CC3 Controls'!J6:J10)=0,"Objectives specified with sufficient clarity  ·  not yet scored","Objectives specified with sufficient clarity  ·  "&amp;COUNTIF('CC3 Controls'!J6:J10,0)&amp;" at level 0, "&amp;COUNTIFS('CC3 Controls'!J6:J10,"&lt;3")&amp;" below level 3")</f>
        <v>Objectives specified with sufficient clarity  ·  2 at level 0, 5 below level 3</v>
      </c>
    </row>
    <row r="68" spans="2:4" ht="18" customHeight="1" x14ac:dyDescent="0.2">
      <c r="B68" s="93" t="s">
        <v>169</v>
      </c>
      <c r="C68" s="94">
        <f>IFERROR(AVERAGE('CC3 Controls'!J12:J18),0)</f>
        <v>1</v>
      </c>
      <c r="D68" s="95" t="str">
        <f>IF(COUNT('CC3 Controls'!J12:J18)=0,"Identifies and analyzes risk  ·  not yet scored","Identifies and analyzes risk  ·  "&amp;COUNTIF('CC3 Controls'!J12:J18,0)&amp;" at level 0, "&amp;COUNTIFS('CC3 Controls'!J12:J18,"&lt;3")&amp;" below level 3")</f>
        <v>Identifies and analyzes risk  ·  0 at level 0, 7 below level 3</v>
      </c>
    </row>
    <row r="69" spans="2:4" ht="18" customHeight="1" x14ac:dyDescent="0.2">
      <c r="B69" s="93" t="s">
        <v>170</v>
      </c>
      <c r="C69" s="94">
        <f>IFERROR(AVERAGE('CC3 Controls'!J20:J23),0)</f>
        <v>1</v>
      </c>
      <c r="D69" s="95" t="str">
        <f>IF(COUNT('CC3 Controls'!J20:J23)=0,"Considers the potential for fraud  ·  not yet scored","Considers the potential for fraud  ·  "&amp;COUNTIF('CC3 Controls'!J20:J23,0)&amp;" at level 0, "&amp;COUNTIFS('CC3 Controls'!J20:J23,"&lt;3")&amp;" below level 3")</f>
        <v>Considers the potential for fraud  ·  0 at level 0, 4 below level 3</v>
      </c>
    </row>
    <row r="70" spans="2:4" ht="18" customHeight="1" x14ac:dyDescent="0.2">
      <c r="B70" s="93" t="s">
        <v>171</v>
      </c>
      <c r="C70" s="94">
        <f>IFERROR(AVERAGE('CC3 Controls'!J25:J28),0)</f>
        <v>1</v>
      </c>
      <c r="D70" s="95" t="str">
        <f>IF(COUNT('CC3 Controls'!J25:J28)=0,"Identifies and assesses significant change  ·  not yet scored","Identifies and assesses significant change  ·  "&amp;COUNTIF('CC3 Controls'!J25:J28,0)&amp;" at level 0, "&amp;COUNTIFS('CC3 Controls'!J25:J28,"&lt;3")&amp;" below level 3")</f>
        <v>Identifies and assesses significant change  ·  0 at level 0, 4 below level 3</v>
      </c>
    </row>
    <row r="71" spans="2:4" ht="18" customHeight="1" x14ac:dyDescent="0.2">
      <c r="B71" s="90" t="s">
        <v>172</v>
      </c>
      <c r="C71" s="91">
        <f>IFERROR((SUMIFS('CC4 Controls'!$J$5:$J$19,'CC4 Controls'!$B$5:$B$19,"&lt;&gt;"))/(COUNTIFS('CC4 Controls'!$B$5:$B$19,"&lt;&gt;",'CC4 Controls'!$J$5:$J$19,"&gt;=0")),0)</f>
        <v>1</v>
      </c>
      <c r="D71" s="92" t="str">
        <f>IF((COUNTIFS('CC4 Controls'!$B$5:$B$19,"&lt;&gt;",'CC4 Controls'!$J$5:$J$19,"&gt;=0"))=0,"Monitoring Activities  ·  not yet scored","Monitoring Activities  ·  "&amp;(COUNTIFS('CC4 Controls'!$B$5:$B$19,"&lt;&gt;",'CC4 Controls'!$J$5:$J$19,0))&amp;" at level 0, "&amp;(COUNTIFS('CC4 Controls'!$B$5:$B$19,"&lt;&gt;",'CC4 Controls'!$J$5:$J$19,"&lt;3"))&amp;" below level 3")</f>
        <v>Monitoring Activities  ·  0 at level 0, 13 below level 3</v>
      </c>
    </row>
    <row r="72" spans="2:4" ht="18" customHeight="1" x14ac:dyDescent="0.2">
      <c r="B72" s="93" t="s">
        <v>173</v>
      </c>
      <c r="C72" s="94">
        <f>IFERROR(AVERAGE('CC4 Controls'!J6:J12),0)</f>
        <v>1</v>
      </c>
      <c r="D72" s="95" t="str">
        <f>IF(COUNT('CC4 Controls'!J6:J12)=0,"Ongoing and separate evaluations  ·  not yet scored","Ongoing and separate evaluations  ·  "&amp;COUNTIF('CC4 Controls'!J6:J12,0)&amp;" at level 0, "&amp;COUNTIFS('CC4 Controls'!J6:J12,"&lt;3")&amp;" below level 3")</f>
        <v>Ongoing and separate evaluations  ·  0 at level 0, 7 below level 3</v>
      </c>
    </row>
    <row r="73" spans="2:4" ht="18" customHeight="1" x14ac:dyDescent="0.2">
      <c r="B73" s="93" t="s">
        <v>174</v>
      </c>
      <c r="C73" s="94">
        <f>IFERROR(AVERAGE('CC4 Controls'!J14:J19),0)</f>
        <v>1</v>
      </c>
      <c r="D73" s="95" t="str">
        <f>IF(COUNT('CC4 Controls'!J14:J19)=0,"Evaluates and communicates deficiencies  ·  not yet scored","Evaluates and communicates deficiencies  ·  "&amp;COUNTIF('CC4 Controls'!J14:J19,0)&amp;" at level 0, "&amp;COUNTIFS('CC4 Controls'!J14:J19,"&lt;3")&amp;" below level 3")</f>
        <v>Evaluates and communicates deficiencies  ·  0 at level 0, 6 below level 3</v>
      </c>
    </row>
    <row r="74" spans="2:4" ht="18" customHeight="1" x14ac:dyDescent="0.2">
      <c r="B74" s="90" t="s">
        <v>175</v>
      </c>
      <c r="C74" s="91">
        <f>IFERROR((SUMIFS('CC5 Controls'!$J$5:$J$19,'CC5 Controls'!$B$5:$B$19,"&lt;&gt;"))/(COUNTIFS('CC5 Controls'!$B$5:$B$19,"&lt;&gt;",'CC5 Controls'!$J$5:$J$19,"&gt;=0")),0)</f>
        <v>1</v>
      </c>
      <c r="D74" s="92" t="str">
        <f>IF((COUNTIFS('CC5 Controls'!$B$5:$B$19,"&lt;&gt;",'CC5 Controls'!$J$5:$J$19,"&gt;=0"))=0,"Control Activities  ·  not yet scored","Control Activities  ·  "&amp;(COUNTIFS('CC5 Controls'!$B$5:$B$19,"&lt;&gt;",'CC5 Controls'!$J$5:$J$19,0))&amp;" at level 0, "&amp;(COUNTIFS('CC5 Controls'!$B$5:$B$19,"&lt;&gt;",'CC5 Controls'!$J$5:$J$19,"&lt;3"))&amp;" below level 3")</f>
        <v>Control Activities  ·  0 at level 0, 12 below level 3</v>
      </c>
    </row>
    <row r="75" spans="2:4" ht="18" customHeight="1" x14ac:dyDescent="0.2">
      <c r="B75" s="93" t="s">
        <v>176</v>
      </c>
      <c r="C75" s="94">
        <f>IFERROR(AVERAGE('CC5 Controls'!J6:J9),0)</f>
        <v>1</v>
      </c>
      <c r="D75" s="95" t="str">
        <f>IF(COUNT('CC5 Controls'!J6:J9)=0,"Selects and develops control activities  ·  not yet scored","Selects and develops control activities  ·  "&amp;COUNTIF('CC5 Controls'!J6:J9,0)&amp;" at level 0, "&amp;COUNTIFS('CC5 Controls'!J6:J9,"&lt;3")&amp;" below level 3")</f>
        <v>Selects and develops control activities  ·  0 at level 0, 4 below level 3</v>
      </c>
    </row>
    <row r="76" spans="2:4" ht="18" customHeight="1" x14ac:dyDescent="0.2">
      <c r="B76" s="93" t="s">
        <v>177</v>
      </c>
      <c r="C76" s="94">
        <f>IFERROR(AVERAGE('CC5 Controls'!J11:J14),0)</f>
        <v>1</v>
      </c>
      <c r="D76" s="95" t="str">
        <f>IF(COUNT('CC5 Controls'!J11:J14)=0,"General controls over technology  ·  not yet scored","General controls over technology  ·  "&amp;COUNTIF('CC5 Controls'!J11:J14,0)&amp;" at level 0, "&amp;COUNTIFS('CC5 Controls'!J11:J14,"&lt;3")&amp;" below level 3")</f>
        <v>General controls over technology  ·  0 at level 0, 4 below level 3</v>
      </c>
    </row>
    <row r="77" spans="2:4" ht="18" customHeight="1" x14ac:dyDescent="0.2">
      <c r="B77" s="93" t="s">
        <v>178</v>
      </c>
      <c r="C77" s="94">
        <f>IFERROR(AVERAGE('CC5 Controls'!J16:J19),0)</f>
        <v>1</v>
      </c>
      <c r="D77" s="95" t="str">
        <f>IF(COUNT('CC5 Controls'!J16:J19)=0,"Deploys through policies and procedures  ·  not yet scored","Deploys through policies and procedures  ·  "&amp;COUNTIF('CC5 Controls'!J16:J19,0)&amp;" at level 0, "&amp;COUNTIFS('CC5 Controls'!J16:J19,"&lt;3")&amp;" below level 3")</f>
        <v>Deploys through policies and procedures  ·  0 at level 0, 4 below level 3</v>
      </c>
    </row>
    <row r="78" spans="2:4" ht="18" customHeight="1" x14ac:dyDescent="0.2">
      <c r="B78" s="90" t="s">
        <v>179</v>
      </c>
      <c r="C78" s="91">
        <f>IFERROR((SUMIFS('CC6 Controls'!$J$5:$J$44,'CC6 Controls'!$B$5:$B$44,"&lt;&gt;"))/(COUNTIFS('CC6 Controls'!$B$5:$B$44,"&lt;&gt;",'CC6 Controls'!$J$5:$J$44,"&gt;=0")),0)</f>
        <v>0.96875</v>
      </c>
      <c r="D78" s="92" t="str">
        <f>IF((COUNTIFS('CC6 Controls'!$B$5:$B$44,"&lt;&gt;",'CC6 Controls'!$J$5:$J$44,"&gt;=0"))=0,"Logical and Physical Access Controls  ·  not yet scored","Logical and Physical Access Controls  ·  "&amp;(COUNTIFS('CC6 Controls'!$B$5:$B$44,"&lt;&gt;",'CC6 Controls'!$J$5:$J$44,0))&amp;" at level 0, "&amp;(COUNTIFS('CC6 Controls'!$B$5:$B$44,"&lt;&gt;",'CC6 Controls'!$J$5:$J$44,"&lt;3"))&amp;" below level 3")</f>
        <v>Logical and Physical Access Controls  ·  1 at level 0, 32 below level 3</v>
      </c>
    </row>
    <row r="79" spans="2:4" ht="18" customHeight="1" x14ac:dyDescent="0.2">
      <c r="B79" s="93" t="s">
        <v>180</v>
      </c>
      <c r="C79" s="94">
        <f>IFERROR(AVERAGE('CC6 Controls'!J6:J10),0)</f>
        <v>1</v>
      </c>
      <c r="D79" s="95" t="str">
        <f>IF(COUNT('CC6 Controls'!J6:J10)=0,"Logical access security measures  ·  not yet scored","Logical access security measures  ·  "&amp;COUNTIF('CC6 Controls'!J6:J10,0)&amp;" at level 0, "&amp;COUNTIFS('CC6 Controls'!J6:J10,"&lt;3")&amp;" below level 3")</f>
        <v>Logical access security measures  ·  0 at level 0, 5 below level 3</v>
      </c>
    </row>
    <row r="80" spans="2:4" ht="18" customHeight="1" x14ac:dyDescent="0.2">
      <c r="B80" s="93" t="s">
        <v>181</v>
      </c>
      <c r="C80" s="94">
        <f>IFERROR(AVERAGE('CC6 Controls'!J12:J15),0)</f>
        <v>1</v>
      </c>
      <c r="D80" s="95" t="str">
        <f>IF(COUNT('CC6 Controls'!J12:J15)=0,"Registration and authorization of users  ·  not yet scored","Registration and authorization of users  ·  "&amp;COUNTIF('CC6 Controls'!J12:J15,0)&amp;" at level 0, "&amp;COUNTIFS('CC6 Controls'!J12:J15,"&lt;3")&amp;" below level 3")</f>
        <v>Registration and authorization of users  ·  0 at level 0, 4 below level 3</v>
      </c>
    </row>
    <row r="81" spans="2:4" ht="18" customHeight="1" x14ac:dyDescent="0.2">
      <c r="B81" s="93" t="s">
        <v>182</v>
      </c>
      <c r="C81" s="94">
        <f>IFERROR(AVERAGE('CC6 Controls'!J17:J21),0)</f>
        <v>1</v>
      </c>
      <c r="D81" s="95" t="str">
        <f>IF(COUNT('CC6 Controls'!J17:J21)=0,"Role-based access, least privilege, segregation  ·  not yet scored","Role-based access, least privilege, segregation  ·  "&amp;COUNTIF('CC6 Controls'!J17:J21,0)&amp;" at level 0, "&amp;COUNTIFS('CC6 Controls'!J17:J21,"&lt;3")&amp;" below level 3")</f>
        <v>Role-based access, least privilege, segregation  ·  0 at level 0, 5 below level 3</v>
      </c>
    </row>
    <row r="82" spans="2:4" ht="18" customHeight="1" x14ac:dyDescent="0.2">
      <c r="B82" s="93" t="s">
        <v>183</v>
      </c>
      <c r="C82" s="94">
        <f>IFERROR(AVERAGE('CC6 Controls'!J23:J26),0)</f>
        <v>1</v>
      </c>
      <c r="D82" s="95" t="str">
        <f>IF(COUNT('CC6 Controls'!J23:J26)=0,"Physical access  ·  not yet scored","Physical access  ·  "&amp;COUNTIF('CC6 Controls'!J23:J26,0)&amp;" at level 0, "&amp;COUNTIFS('CC6 Controls'!J23:J26,"&lt;3")&amp;" below level 3")</f>
        <v>Physical access  ·  0 at level 0, 4 below level 3</v>
      </c>
    </row>
    <row r="83" spans="2:4" ht="18" customHeight="1" x14ac:dyDescent="0.2">
      <c r="B83" s="93" t="s">
        <v>184</v>
      </c>
      <c r="C83" s="94">
        <f>IFERROR(AVERAGE('CC6 Controls'!J28:J30),0)</f>
        <v>1</v>
      </c>
      <c r="D83" s="95" t="str">
        <f>IF(COUNT('CC6 Controls'!J28:J30)=0,"Disposal of assets and information  ·  not yet scored","Disposal of assets and information  ·  "&amp;COUNTIF('CC6 Controls'!J28:J30,0)&amp;" at level 0, "&amp;COUNTIFS('CC6 Controls'!J28:J30,"&lt;3")&amp;" below level 3")</f>
        <v>Disposal of assets and information  ·  0 at level 0, 3 below level 3</v>
      </c>
    </row>
    <row r="84" spans="2:4" ht="18" customHeight="1" x14ac:dyDescent="0.2">
      <c r="B84" s="93" t="s">
        <v>185</v>
      </c>
      <c r="C84" s="94">
        <f>IFERROR(AVERAGE('CC6 Controls'!J32:J35),0)</f>
        <v>0.75</v>
      </c>
      <c r="D84" s="95" t="str">
        <f>IF(COUNT('CC6 Controls'!J32:J35)=0,"Protection against external threats  ·  not yet scored","Protection against external threats  ·  "&amp;COUNTIF('CC6 Controls'!J32:J35,0)&amp;" at level 0, "&amp;COUNTIFS('CC6 Controls'!J32:J35,"&lt;3")&amp;" below level 3")</f>
        <v>Protection against external threats  ·  1 at level 0, 4 below level 3</v>
      </c>
    </row>
    <row r="85" spans="2:4" ht="18" customHeight="1" x14ac:dyDescent="0.2">
      <c r="B85" s="93" t="s">
        <v>186</v>
      </c>
      <c r="C85" s="94">
        <f>IFERROR(AVERAGE('CC6 Controls'!J37:J40),0)</f>
        <v>1</v>
      </c>
      <c r="D85" s="95" t="str">
        <f>IF(COUNT('CC6 Controls'!J37:J40)=0,"Transmission, movement and removal of information  ·  not yet scored","Transmission, movement and removal of information  ·  "&amp;COUNTIF('CC6 Controls'!J37:J40,0)&amp;" at level 0, "&amp;COUNTIFS('CC6 Controls'!J37:J40,"&lt;3")&amp;" below level 3")</f>
        <v>Transmission, movement and removal of information  ·  0 at level 0, 4 below level 3</v>
      </c>
    </row>
    <row r="86" spans="2:4" ht="18" customHeight="1" x14ac:dyDescent="0.2">
      <c r="B86" s="93" t="s">
        <v>187</v>
      </c>
      <c r="C86" s="94">
        <f>IFERROR(AVERAGE('CC6 Controls'!J42:J44),0)</f>
        <v>1</v>
      </c>
      <c r="D86" s="95" t="str">
        <f>IF(COUNT('CC6 Controls'!J42:J44)=0,"Prevention and detection of unauthorized software  ·  not yet scored","Prevention and detection of unauthorized software  ·  "&amp;COUNTIF('CC6 Controls'!J42:J44,0)&amp;" at level 0, "&amp;COUNTIFS('CC6 Controls'!J42:J44,"&lt;3")&amp;" below level 3")</f>
        <v>Prevention and detection of unauthorized software  ·  0 at level 0, 3 below level 3</v>
      </c>
    </row>
    <row r="87" spans="2:4" ht="18" customHeight="1" x14ac:dyDescent="0.2">
      <c r="B87" s="90" t="s">
        <v>188</v>
      </c>
      <c r="C87" s="91">
        <f>IFERROR((SUMIFS('CC7 Controls'!$J$5:$J$30,'CC7 Controls'!$B$5:$B$30,"&lt;&gt;"))/(COUNTIFS('CC7 Controls'!$B$5:$B$30,"&lt;&gt;",'CC7 Controls'!$J$5:$J$30,"&gt;=0")),0)</f>
        <v>1</v>
      </c>
      <c r="D87" s="92" t="str">
        <f>IF((COUNTIFS('CC7 Controls'!$B$5:$B$30,"&lt;&gt;",'CC7 Controls'!$J$5:$J$30,"&gt;=0"))=0,"System Operations  ·  not yet scored","System Operations  ·  "&amp;(COUNTIFS('CC7 Controls'!$B$5:$B$30,"&lt;&gt;",'CC7 Controls'!$J$5:$J$30,0))&amp;" at level 0, "&amp;(COUNTIFS('CC7 Controls'!$B$5:$B$30,"&lt;&gt;",'CC7 Controls'!$J$5:$J$30,"&lt;3"))&amp;" below level 3")</f>
        <v>System Operations  ·  0 at level 0, 21 below level 3</v>
      </c>
    </row>
    <row r="88" spans="2:4" ht="18" customHeight="1" x14ac:dyDescent="0.2">
      <c r="B88" s="93" t="s">
        <v>189</v>
      </c>
      <c r="C88" s="94">
        <f>IFERROR(AVERAGE('CC7 Controls'!J6:J9),0)</f>
        <v>1</v>
      </c>
      <c r="D88" s="95" t="str">
        <f>IF(COUNT('CC7 Controls'!J6:J9)=0,"Detection of configuration changes and vulnerabilities  ·  not yet scored","Detection of configuration changes and vulnerabilities  ·  "&amp;COUNTIF('CC7 Controls'!J6:J9,0)&amp;" at level 0, "&amp;COUNTIFS('CC7 Controls'!J6:J9,"&lt;3")&amp;" below level 3")</f>
        <v>Detection of configuration changes and vulnerabilities  ·  0 at level 0, 4 below level 3</v>
      </c>
    </row>
    <row r="89" spans="2:4" ht="18" customHeight="1" x14ac:dyDescent="0.2">
      <c r="B89" s="93" t="s">
        <v>190</v>
      </c>
      <c r="C89" s="94">
        <f>IFERROR(AVERAGE('CC7 Controls'!J11:J14),0)</f>
        <v>1</v>
      </c>
      <c r="D89" s="95" t="str">
        <f>IF(COUNT('CC7 Controls'!J11:J14)=0,"Monitoring for anomalies  ·  not yet scored","Monitoring for anomalies  ·  "&amp;COUNTIF('CC7 Controls'!J11:J14,0)&amp;" at level 0, "&amp;COUNTIFS('CC7 Controls'!J11:J14,"&lt;3")&amp;" below level 3")</f>
        <v>Monitoring for anomalies  ·  0 at level 0, 4 below level 3</v>
      </c>
    </row>
    <row r="90" spans="2:4" ht="18" customHeight="1" x14ac:dyDescent="0.2">
      <c r="B90" s="93" t="s">
        <v>191</v>
      </c>
      <c r="C90" s="94">
        <f>IFERROR(AVERAGE('CC7 Controls'!J16:J19),0)</f>
        <v>1</v>
      </c>
      <c r="D90" s="95" t="str">
        <f>IF(COUNT('CC7 Controls'!J16:J19)=0,"Evaluation of security events  ·  not yet scored","Evaluation of security events  ·  "&amp;COUNTIF('CC7 Controls'!J16:J19,0)&amp;" at level 0, "&amp;COUNTIFS('CC7 Controls'!J16:J19,"&lt;3")&amp;" below level 3")</f>
        <v>Evaluation of security events  ·  0 at level 0, 4 below level 3</v>
      </c>
    </row>
    <row r="91" spans="2:4" ht="18" customHeight="1" x14ac:dyDescent="0.2">
      <c r="B91" s="93" t="s">
        <v>192</v>
      </c>
      <c r="C91" s="94">
        <f>IFERROR(AVERAGE('CC7 Controls'!J21:J25),0)</f>
        <v>1</v>
      </c>
      <c r="D91" s="95" t="str">
        <f>IF(COUNT('CC7 Controls'!J21:J25)=0,"Incident response  ·  not yet scored","Incident response  ·  "&amp;COUNTIF('CC7 Controls'!J21:J25,0)&amp;" at level 0, "&amp;COUNTIFS('CC7 Controls'!J21:J25,"&lt;3")&amp;" below level 3")</f>
        <v>Incident response  ·  0 at level 0, 5 below level 3</v>
      </c>
    </row>
    <row r="92" spans="2:4" ht="18" customHeight="1" x14ac:dyDescent="0.2">
      <c r="B92" s="93" t="s">
        <v>193</v>
      </c>
      <c r="C92" s="94">
        <f>IFERROR(AVERAGE('CC7 Controls'!J27:J30),0)</f>
        <v>1</v>
      </c>
      <c r="D92" s="95" t="str">
        <f>IF(COUNT('CC7 Controls'!J27:J30)=0,"Recovery from incidents  ·  not yet scored","Recovery from incidents  ·  "&amp;COUNTIF('CC7 Controls'!J27:J30,0)&amp;" at level 0, "&amp;COUNTIFS('CC7 Controls'!J27:J30,"&lt;3")&amp;" below level 3")</f>
        <v>Recovery from incidents  ·  0 at level 0, 4 below level 3</v>
      </c>
    </row>
    <row r="93" spans="2:4" ht="18" customHeight="1" x14ac:dyDescent="0.2">
      <c r="B93" s="90" t="s">
        <v>194</v>
      </c>
      <c r="C93" s="91">
        <f>IFERROR((SUMIFS('CC8 Controls'!$J$5:$J$12,'CC8 Controls'!$B$5:$B$12,"&lt;&gt;"))/(COUNTIFS('CC8 Controls'!$B$5:$B$12,"&lt;&gt;",'CC8 Controls'!$J$5:$J$12,"&gt;=0")),0)</f>
        <v>1</v>
      </c>
      <c r="D93" s="92" t="str">
        <f>IF((COUNTIFS('CC8 Controls'!$B$5:$B$12,"&lt;&gt;",'CC8 Controls'!$J$5:$J$12,"&gt;=0"))=0,"Change Management  ·  not yet scored","Change Management  ·  "&amp;(COUNTIFS('CC8 Controls'!$B$5:$B$12,"&lt;&gt;",'CC8 Controls'!$J$5:$J$12,0))&amp;" at level 0, "&amp;(COUNTIFS('CC8 Controls'!$B$5:$B$12,"&lt;&gt;",'CC8 Controls'!$J$5:$J$12,"&lt;3"))&amp;" below level 3")</f>
        <v>Change Management  ·  0 at level 0, 7 below level 3</v>
      </c>
    </row>
    <row r="94" spans="2:4" ht="18" customHeight="1" x14ac:dyDescent="0.2">
      <c r="B94" s="93" t="s">
        <v>195</v>
      </c>
      <c r="C94" s="94">
        <f>IFERROR(AVERAGE('CC8 Controls'!J6:J12),0)</f>
        <v>1</v>
      </c>
      <c r="D94" s="95" t="str">
        <f>IF(COUNT('CC8 Controls'!J6:J12)=0,"Authorises, designs, develops, tests, approves and implements changes  ·  not yet scored","Authorises, designs, develops, tests, approves and implements changes  ·  "&amp;COUNTIF('CC8 Controls'!J6:J12,0)&amp;" at level 0, "&amp;COUNTIFS('CC8 Controls'!J6:J12,"&lt;3")&amp;" below level 3")</f>
        <v>Authorises, designs, develops, tests, approves and implements changes  ·  0 at level 0, 7 below level 3</v>
      </c>
    </row>
    <row r="95" spans="2:4" ht="18" customHeight="1" x14ac:dyDescent="0.2">
      <c r="B95" s="90" t="s">
        <v>196</v>
      </c>
      <c r="C95" s="91">
        <f>IFERROR((SUMIFS('CC9 Controls'!$J$5:$J$16,'CC9 Controls'!$B$5:$B$16,"&lt;&gt;"))/(COUNTIFS('CC9 Controls'!$B$5:$B$16,"&lt;&gt;",'CC9 Controls'!$J$5:$J$16,"&gt;=0")),0)</f>
        <v>1</v>
      </c>
      <c r="D95" s="92" t="str">
        <f>IF((COUNTIFS('CC9 Controls'!$B$5:$B$16,"&lt;&gt;",'CC9 Controls'!$J$5:$J$16,"&gt;=0"))=0,"Risk Mitigation  ·  not yet scored","Risk Mitigation  ·  "&amp;(COUNTIFS('CC9 Controls'!$B$5:$B$16,"&lt;&gt;",'CC9 Controls'!$J$5:$J$16,0))&amp;" at level 0, "&amp;(COUNTIFS('CC9 Controls'!$B$5:$B$16,"&lt;&gt;",'CC9 Controls'!$J$5:$J$16,"&lt;3"))&amp;" below level 3")</f>
        <v>Risk Mitigation  ·  0 at level 0, 10 below level 3</v>
      </c>
    </row>
    <row r="96" spans="2:4" ht="18" customHeight="1" x14ac:dyDescent="0.2">
      <c r="B96" s="93" t="s">
        <v>197</v>
      </c>
      <c r="C96" s="94">
        <f>IFERROR(AVERAGE('CC9 Controls'!J6:J10),0)</f>
        <v>1</v>
      </c>
      <c r="D96" s="95" t="str">
        <f>IF(COUNT('CC9 Controls'!J6:J10)=0,"Business disruption risk mitigation  ·  not yet scored","Business disruption risk mitigation  ·  "&amp;COUNTIF('CC9 Controls'!J6:J10,0)&amp;" at level 0, "&amp;COUNTIFS('CC9 Controls'!J6:J10,"&lt;3")&amp;" below level 3")</f>
        <v>Business disruption risk mitigation  ·  0 at level 0, 5 below level 3</v>
      </c>
    </row>
    <row r="97" spans="2:4" ht="18" customHeight="1" x14ac:dyDescent="0.2">
      <c r="B97" s="93" t="s">
        <v>198</v>
      </c>
      <c r="C97" s="94">
        <f>IFERROR(AVERAGE('CC9 Controls'!J12:J16),0)</f>
        <v>1</v>
      </c>
      <c r="D97" s="95" t="str">
        <f>IF(COUNT('CC9 Controls'!J12:J16)=0,"Vendor and business partner risk  ·  not yet scored","Vendor and business partner risk  ·  "&amp;COUNTIF('CC9 Controls'!J12:J16,0)&amp;" at level 0, "&amp;COUNTIFS('CC9 Controls'!J12:J16,"&lt;3")&amp;" below level 3")</f>
        <v>Vendor and business partner risk  ·  0 at level 0, 5 below level 3</v>
      </c>
    </row>
    <row r="98" spans="2:4" ht="72" customHeight="1" x14ac:dyDescent="0.2">
      <c r="B98" s="96" t="s">
        <v>199</v>
      </c>
      <c r="C98" s="97">
        <f>IFERROR((SUMIFS('CC1 Controls'!$J$5:$J$39,'CC1 Controls'!$B$5:$B$39,"&lt;&gt;")+SUMIFS('CC2 Controls'!$J$5:$J$24,'CC2 Controls'!$B$5:$B$24,"&lt;&gt;")+SUMIFS('CC3 Controls'!$J$5:$J$28,'CC3 Controls'!$B$5:$B$28,"&lt;&gt;")+SUMIFS('CC4 Controls'!$J$5:$J$19,'CC4 Controls'!$B$5:$B$19,"&lt;&gt;")+SUMIFS('CC5 Controls'!$J$5:$J$19,'CC5 Controls'!$B$5:$B$19,"&lt;&gt;")+SUMIFS('CC6 Controls'!$J$5:$J$44,'CC6 Controls'!$B$5:$B$44,"&lt;&gt;")+SUMIFS('CC7 Controls'!$J$5:$J$30,'CC7 Controls'!$B$5:$B$30,"&lt;&gt;")+SUMIFS('CC8 Controls'!$J$5:$J$12,'CC8 Controls'!$B$5:$B$12,"&lt;&gt;")+SUMIFS('CC9 Controls'!$J$5:$J$16,'CC9 Controls'!$B$5:$B$16,"&lt;&gt;"))/(COUNTIFS('CC1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Controls'!$J$5:$J$16,"&gt;=0")),0)</f>
        <v>0.87421383647798745</v>
      </c>
      <c r="D98" s="98" t="str">
        <f>IF((COUNTIFS('CC1 Controls'!$B$5:$B$39,"&lt;&gt;",'CC1 Controls'!$J$5:$J$39,"&gt;=0")+COUNTIFS('CC2 Controls'!$B$5:$B$24,"&lt;&gt;",'CC2 Controls'!$J$5:$J$24,"&gt;=0")+COUNTIFS('CC3 Controls'!$B$5:$B$28,"&lt;&gt;",'CC3 Controls'!$J$5:$J$28,"&gt;=0")+COUNTIFS('CC4 Controls'!$B$5:$B$19,"&lt;&gt;",'CC4 Controls'!$J$5:$J$19,"&gt;=0")+COUNTIFS('CC5 Controls'!$B$5:$B$19,"&lt;&gt;",'CC5 Controls'!$J$5:$J$19,"&gt;=0")+COUNTIFS('CC6 Controls'!$B$5:$B$44,"&lt;&gt;",'CC6 Controls'!$J$5:$J$44,"&gt;=0")+COUNTIFS('CC7 Controls'!$B$5:$B$30,"&lt;&gt;",'CC7 Controls'!$J$5:$J$30,"&gt;=0")+COUNTIFS('CC8 Controls'!$B$5:$B$12,"&lt;&gt;",'CC8 Controls'!$J$5:$J$12,"&gt;=0")+COUNTIFS('CC9 Controls'!$B$5:$B$16,"&lt;&gt;",'CC9 Controls'!$J$5:$J$16,"&gt;=0"))=0,"Every control in the plan  ·  not yet scored","Every control in the plan  ·  "&amp;(COUNTIFS('CC1 Controls'!$B$5:$B$39,"&lt;&gt;",'CC1 Controls'!$J$5:$J$39,0)+COUNTIFS('CC2 Controls'!$B$5:$B$24,"&lt;&gt;",'CC2 Controls'!$J$5:$J$24,0)+COUNTIFS('CC3 Controls'!$B$5:$B$28,"&lt;&gt;",'CC3 Controls'!$J$5:$J$28,0)+COUNTIFS('CC4 Controls'!$B$5:$B$19,"&lt;&gt;",'CC4 Controls'!$J$5:$J$19,0)+COUNTIFS('CC5 Controls'!$B$5:$B$19,"&lt;&gt;",'CC5 Controls'!$J$5:$J$19,0)+COUNTIFS('CC6 Controls'!$B$5:$B$44,"&lt;&gt;",'CC6 Controls'!$J$5:$J$44,0)+COUNTIFS('CC7 Controls'!$B$5:$B$30,"&lt;&gt;",'CC7 Controls'!$J$5:$J$30,0)+COUNTIFS('CC8 Controls'!$B$5:$B$12,"&lt;&gt;",'CC8 Controls'!$J$5:$J$12,0)+COUNTIFS('CC9 Controls'!$B$5:$B$16,"&lt;&gt;",'CC9 Controls'!$J$5:$J$16,0))&amp;" at level 0, "&amp;(COUNTIFS('CC1 Controls'!$B$5:$B$39,"&lt;&gt;",'CC1 Controls'!$J$5:$J$39,"&lt;3")+COUNTIFS('CC2 Controls'!$B$5:$B$24,"&lt;&gt;",'CC2 Controls'!$J$5:$J$24,"&lt;3")+COUNTIFS('CC3 Controls'!$B$5:$B$28,"&lt;&gt;",'CC3 Controls'!$J$5:$J$28,"&lt;3")+COUNTIFS('CC4 Controls'!$B$5:$B$19,"&lt;&gt;",'CC4 Controls'!$J$5:$J$19,"&lt;3")+COUNTIFS('CC5 Controls'!$B$5:$B$19,"&lt;&gt;",'CC5 Controls'!$J$5:$J$19,"&lt;3")+COUNTIFS('CC6 Controls'!$B$5:$B$44,"&lt;&gt;",'CC6 Controls'!$J$5:$J$44,"&lt;3")+COUNTIFS('CC7 Controls'!$B$5:$B$30,"&lt;&gt;",'CC7 Controls'!$J$5:$J$30,"&lt;3")+COUNTIFS('CC8 Controls'!$B$5:$B$12,"&lt;&gt;",'CC8 Controls'!$J$5:$J$12,"&lt;3")+COUNTIFS('CC9 Controls'!$B$5:$B$16,"&lt;&gt;",'CC9 Controls'!$J$5:$J$16,"&lt;3"))&amp;" below level 3")</f>
        <v>Every control in the plan  ·  21 at level 0, 159 below level 3</v>
      </c>
    </row>
    <row r="103" spans="2:4" x14ac:dyDescent="0.2">
      <c r="B103" s="8" t="s">
        <v>200</v>
      </c>
    </row>
    <row r="104" spans="2:4" ht="54" customHeight="1" x14ac:dyDescent="0.2">
      <c r="B104" s="11" t="s">
        <v>201</v>
      </c>
      <c r="D104" s="12" t="s">
        <v>202</v>
      </c>
    </row>
    <row r="105" spans="2:4" ht="54" customHeight="1" x14ac:dyDescent="0.2">
      <c r="B105" s="11" t="s">
        <v>203</v>
      </c>
      <c r="D105" s="12" t="s">
        <v>204</v>
      </c>
    </row>
    <row r="106" spans="2:4" ht="54" customHeight="1" x14ac:dyDescent="0.2">
      <c r="B106" s="11" t="s">
        <v>205</v>
      </c>
      <c r="D106" s="12" t="s">
        <v>206</v>
      </c>
    </row>
    <row r="107" spans="2:4" x14ac:dyDescent="0.2">
      <c r="B107" s="8" t="s">
        <v>207</v>
      </c>
      <c r="D107" t="s">
        <v>208</v>
      </c>
    </row>
    <row r="108" spans="2:4" ht="54" customHeight="1" x14ac:dyDescent="0.2">
      <c r="B108" s="11" t="s">
        <v>209</v>
      </c>
      <c r="D108" s="12" t="s">
        <v>210</v>
      </c>
    </row>
    <row r="109" spans="2:4" ht="36" customHeight="1" x14ac:dyDescent="0.2">
      <c r="B109" s="11" t="s">
        <v>211</v>
      </c>
      <c r="D109" s="12" t="s">
        <v>212</v>
      </c>
    </row>
    <row r="112" spans="2:4" ht="72" customHeight="1" x14ac:dyDescent="0.2">
      <c r="B112" s="11" t="s">
        <v>213</v>
      </c>
      <c r="D112"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45"/>
  <sheetViews>
    <sheetView showGridLines="0" topLeftCell="E1" zoomScaleNormal="100" workbookViewId="0">
      <pane ySplit="4" topLeftCell="A14" activePane="bottomLeft" state="frozen"/>
      <selection pane="bottomLeft" activeCell="J38" sqref="J38"/>
    </sheetView>
  </sheetViews>
  <sheetFormatPr baseColWidth="10" defaultColWidth="40" defaultRowHeight="21" outlineLevelRow="1" x14ac:dyDescent="0.25"/>
  <cols>
    <col min="1" max="1" width="11" style="45" customWidth="1"/>
    <col min="2" max="2" width="9" style="45" customWidth="1"/>
    <col min="3" max="3" width="42" style="45" customWidth="1"/>
    <col min="4" max="4" width="15" style="45" customWidth="1"/>
    <col min="5" max="5" width="13" style="45" customWidth="1"/>
    <col min="6" max="6" width="14" style="45" customWidth="1"/>
    <col min="7" max="7" width="44" style="45" customWidth="1"/>
    <col min="8" max="8" width="28" style="45" customWidth="1"/>
    <col min="9" max="9" width="44" style="45" customWidth="1"/>
    <col min="10" max="10" width="7" style="65" customWidth="1"/>
    <col min="11" max="11" width="15" style="65" customWidth="1"/>
    <col min="12" max="12" width="34" style="45" customWidth="1"/>
    <col min="13" max="13" width="12" style="45" customWidth="1"/>
    <col min="14" max="14" width="40" style="45" customWidth="1"/>
    <col min="15" max="15" width="12" customWidth="1"/>
    <col min="16" max="17" width="58" customWidth="1"/>
    <col min="18" max="18" width="40" style="45" customWidth="1"/>
    <col min="19" max="16384" width="40" style="45"/>
  </cols>
  <sheetData>
    <row r="1" spans="1:17" x14ac:dyDescent="0.25">
      <c r="A1" s="2" t="s">
        <v>214</v>
      </c>
    </row>
    <row r="2" spans="1:17" x14ac:dyDescent="0.25">
      <c r="A2" s="46" t="s">
        <v>215</v>
      </c>
    </row>
    <row r="4" spans="1:17" ht="44" customHeight="1" x14ac:dyDescent="0.25">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228</v>
      </c>
      <c r="P4" s="47" t="s">
        <v>229</v>
      </c>
      <c r="Q4" s="47" t="s">
        <v>230</v>
      </c>
    </row>
    <row r="5" spans="1:17" ht="19.5" customHeight="1" x14ac:dyDescent="0.25">
      <c r="A5" s="52" t="s">
        <v>158</v>
      </c>
      <c r="B5" s="52"/>
      <c r="C5" s="53" t="s">
        <v>231</v>
      </c>
      <c r="D5" s="53"/>
      <c r="E5" s="53"/>
      <c r="F5" s="53"/>
      <c r="G5" s="53"/>
      <c r="H5" s="53"/>
      <c r="I5" s="53"/>
      <c r="J5" s="72">
        <f>IFERROR(ROUND(AVERAGE(J6:J10),1),"")</f>
        <v>0</v>
      </c>
      <c r="K5" s="73" t="str">
        <f>IF(COUNT(J6:J10)=0,IF(COUNTIF(J6:J10,"N/A")&gt;0,"all n/a","not scored"),COUNTIF(J6:J10,0)&amp;" gaps, "&amp;COUNTIFS(J6:J10,"&lt;3")&amp;" below 3")</f>
        <v>5 gaps, 5 below 3</v>
      </c>
      <c r="L5" s="53"/>
      <c r="M5" s="54"/>
      <c r="N5" s="53"/>
      <c r="O5" s="52" t="s">
        <v>232</v>
      </c>
      <c r="P5" s="53"/>
      <c r="Q5" s="53"/>
    </row>
    <row r="6" spans="1:17" ht="57.75" customHeight="1" outlineLevel="1" x14ac:dyDescent="0.25">
      <c r="A6" s="55" t="s">
        <v>51</v>
      </c>
      <c r="B6" s="56" t="s">
        <v>158</v>
      </c>
      <c r="C6" s="49" t="s">
        <v>52</v>
      </c>
      <c r="D6" s="57" t="s">
        <v>233</v>
      </c>
      <c r="E6" s="49" t="s">
        <v>234</v>
      </c>
      <c r="F6" s="49" t="s">
        <v>235</v>
      </c>
      <c r="G6" s="49" t="s">
        <v>236</v>
      </c>
      <c r="H6" s="49" t="s">
        <v>237</v>
      </c>
      <c r="I6" s="58" t="s">
        <v>238</v>
      </c>
      <c r="J6" s="74">
        <v>0</v>
      </c>
      <c r="K6" s="75" t="str">
        <f t="shared" ref="K6:K11" si="0">IF(J6="","",IF(J6="N/A","Not applicable",CHOOSE(J6+1,"Gap","Documented","Implemented","Evidenced","Automated")))</f>
        <v>Gap</v>
      </c>
      <c r="L6" s="57"/>
      <c r="M6" s="59"/>
      <c r="N6" s="49" t="s">
        <v>239</v>
      </c>
      <c r="O6" s="56" t="s">
        <v>34</v>
      </c>
      <c r="P6" s="49" t="s">
        <v>240</v>
      </c>
      <c r="Q6" s="49" t="s">
        <v>241</v>
      </c>
    </row>
    <row r="7" spans="1:17" ht="57.75" customHeight="1" outlineLevel="1" x14ac:dyDescent="0.25">
      <c r="A7" s="60" t="s">
        <v>53</v>
      </c>
      <c r="B7" s="61" t="s">
        <v>158</v>
      </c>
      <c r="C7" s="51" t="s">
        <v>54</v>
      </c>
      <c r="D7" s="57" t="s">
        <v>242</v>
      </c>
      <c r="E7" s="51" t="s">
        <v>243</v>
      </c>
      <c r="F7" s="51" t="s">
        <v>244</v>
      </c>
      <c r="G7" s="51" t="s">
        <v>245</v>
      </c>
      <c r="H7" s="51" t="s">
        <v>246</v>
      </c>
      <c r="I7" s="62" t="s">
        <v>247</v>
      </c>
      <c r="J7" s="74">
        <v>0</v>
      </c>
      <c r="K7" s="76" t="str">
        <f t="shared" si="0"/>
        <v>Gap</v>
      </c>
      <c r="L7" s="57"/>
      <c r="M7" s="59"/>
      <c r="N7" s="51" t="s">
        <v>248</v>
      </c>
      <c r="O7" s="61" t="s">
        <v>34</v>
      </c>
      <c r="P7" s="51" t="s">
        <v>249</v>
      </c>
      <c r="Q7" s="51" t="s">
        <v>250</v>
      </c>
    </row>
    <row r="8" spans="1:17" ht="57.75" customHeight="1" outlineLevel="1" x14ac:dyDescent="0.25">
      <c r="A8" s="55" t="s">
        <v>55</v>
      </c>
      <c r="B8" s="56" t="s">
        <v>158</v>
      </c>
      <c r="C8" s="49" t="s">
        <v>56</v>
      </c>
      <c r="D8" s="57" t="s">
        <v>233</v>
      </c>
      <c r="E8" s="49" t="s">
        <v>251</v>
      </c>
      <c r="F8" s="49" t="s">
        <v>244</v>
      </c>
      <c r="G8" s="49" t="s">
        <v>252</v>
      </c>
      <c r="H8" s="49" t="s">
        <v>253</v>
      </c>
      <c r="I8" s="58" t="s">
        <v>254</v>
      </c>
      <c r="J8" s="74">
        <v>0</v>
      </c>
      <c r="K8" s="75" t="str">
        <f t="shared" si="0"/>
        <v>Gap</v>
      </c>
      <c r="L8" s="57"/>
      <c r="M8" s="59"/>
      <c r="N8" s="49" t="s">
        <v>255</v>
      </c>
      <c r="O8" s="56" t="s">
        <v>35</v>
      </c>
      <c r="P8" s="49" t="s">
        <v>256</v>
      </c>
      <c r="Q8" s="49" t="s">
        <v>257</v>
      </c>
    </row>
    <row r="9" spans="1:17" ht="57.75" customHeight="1" outlineLevel="1" x14ac:dyDescent="0.25">
      <c r="A9" s="60" t="s">
        <v>57</v>
      </c>
      <c r="B9" s="61" t="s">
        <v>158</v>
      </c>
      <c r="C9" s="51" t="s">
        <v>58</v>
      </c>
      <c r="D9" s="57" t="s">
        <v>233</v>
      </c>
      <c r="E9" s="51" t="s">
        <v>258</v>
      </c>
      <c r="F9" s="51" t="s">
        <v>259</v>
      </c>
      <c r="G9" s="51" t="s">
        <v>260</v>
      </c>
      <c r="H9" s="51" t="s">
        <v>261</v>
      </c>
      <c r="I9" s="62" t="s">
        <v>262</v>
      </c>
      <c r="J9" s="74">
        <v>0</v>
      </c>
      <c r="K9" s="76" t="str">
        <f t="shared" si="0"/>
        <v>Gap</v>
      </c>
      <c r="L9" s="57"/>
      <c r="M9" s="59"/>
      <c r="N9" s="51" t="s">
        <v>263</v>
      </c>
      <c r="O9" s="61" t="s">
        <v>35</v>
      </c>
      <c r="P9" s="51" t="s">
        <v>264</v>
      </c>
      <c r="Q9" s="51" t="s">
        <v>265</v>
      </c>
    </row>
    <row r="10" spans="1:17" ht="57.75" customHeight="1" outlineLevel="1" x14ac:dyDescent="0.25">
      <c r="A10" s="55" t="s">
        <v>59</v>
      </c>
      <c r="B10" s="56" t="s">
        <v>158</v>
      </c>
      <c r="C10" s="49" t="s">
        <v>60</v>
      </c>
      <c r="D10" s="57" t="s">
        <v>233</v>
      </c>
      <c r="E10" s="49" t="s">
        <v>266</v>
      </c>
      <c r="F10" s="49" t="s">
        <v>267</v>
      </c>
      <c r="G10" s="51" t="s">
        <v>268</v>
      </c>
      <c r="H10" s="49" t="s">
        <v>269</v>
      </c>
      <c r="I10" s="58" t="s">
        <v>270</v>
      </c>
      <c r="J10" s="74">
        <v>0</v>
      </c>
      <c r="K10" s="75" t="str">
        <f t="shared" si="0"/>
        <v>Gap</v>
      </c>
      <c r="L10" s="57"/>
      <c r="M10" s="59"/>
      <c r="N10" s="49" t="s">
        <v>271</v>
      </c>
      <c r="O10" s="56" t="s">
        <v>34</v>
      </c>
      <c r="P10" s="49" t="s">
        <v>272</v>
      </c>
      <c r="Q10" s="49" t="s">
        <v>273</v>
      </c>
    </row>
    <row r="11" spans="1:17" ht="57.75" customHeight="1" outlineLevel="1" x14ac:dyDescent="0.25">
      <c r="A11" s="55" t="s">
        <v>274</v>
      </c>
      <c r="B11" s="56" t="s">
        <v>158</v>
      </c>
      <c r="C11" s="49" t="s">
        <v>275</v>
      </c>
      <c r="D11" s="57" t="s">
        <v>233</v>
      </c>
      <c r="E11" s="49" t="s">
        <v>276</v>
      </c>
      <c r="F11" s="49" t="s">
        <v>244</v>
      </c>
      <c r="G11" s="49" t="s">
        <v>277</v>
      </c>
      <c r="H11" s="79" t="s">
        <v>278</v>
      </c>
      <c r="I11" s="62" t="s">
        <v>279</v>
      </c>
      <c r="J11" s="74">
        <v>1</v>
      </c>
      <c r="K11" s="75" t="str">
        <f t="shared" si="0"/>
        <v>Documented</v>
      </c>
      <c r="L11" s="57"/>
      <c r="M11" s="59"/>
      <c r="N11" s="49" t="s">
        <v>280</v>
      </c>
      <c r="O11" s="56" t="s">
        <v>281</v>
      </c>
      <c r="P11" s="49" t="s">
        <v>282</v>
      </c>
      <c r="Q11" s="49" t="s">
        <v>283</v>
      </c>
    </row>
    <row r="12" spans="1:17" ht="19.5" customHeight="1" x14ac:dyDescent="0.25">
      <c r="A12" s="52" t="s">
        <v>159</v>
      </c>
      <c r="B12" s="52"/>
      <c r="C12" s="53" t="s">
        <v>284</v>
      </c>
      <c r="D12" s="53"/>
      <c r="E12" s="53"/>
      <c r="F12" s="53"/>
      <c r="G12" s="53"/>
      <c r="H12" s="53"/>
      <c r="I12" s="53"/>
      <c r="J12" s="67">
        <f>IFERROR(ROUND(AVERAGE(J14:J19),1),"")</f>
        <v>1</v>
      </c>
      <c r="K12" s="68" t="str">
        <f>IF(COUNT(J14:J19)=0,IF(COUNTIF(J14:J19,"N/A")&gt;0,"all n/a","not scored"),COUNTIF(J14:J19,0)&amp;" gaps, "&amp;COUNTIFS(J14:J19,"&lt;3")&amp;" below 3")</f>
        <v>1 gaps, 5 below 3</v>
      </c>
      <c r="L12" s="53"/>
      <c r="M12" s="54"/>
      <c r="N12" s="53"/>
      <c r="O12" s="52" t="s">
        <v>232</v>
      </c>
      <c r="P12" s="53"/>
      <c r="Q12" s="53"/>
    </row>
    <row r="13" spans="1:17" s="85" customFormat="1" ht="19.5" customHeight="1" x14ac:dyDescent="0.25">
      <c r="A13" s="80"/>
      <c r="B13" s="80"/>
      <c r="C13" s="81"/>
      <c r="D13" s="81"/>
      <c r="E13" s="81"/>
      <c r="F13" s="81"/>
      <c r="G13" s="81"/>
      <c r="H13" s="81"/>
      <c r="I13" s="81"/>
      <c r="J13" s="82"/>
      <c r="K13" s="83"/>
      <c r="L13" s="81"/>
      <c r="M13" s="84"/>
      <c r="N13" s="86"/>
      <c r="O13" s="86"/>
      <c r="P13" s="86"/>
      <c r="Q13" s="86"/>
    </row>
    <row r="14" spans="1:17" ht="57.75" customHeight="1" outlineLevel="1" x14ac:dyDescent="0.25">
      <c r="A14" s="55" t="s">
        <v>285</v>
      </c>
      <c r="B14" s="56" t="s">
        <v>159</v>
      </c>
      <c r="C14" s="49" t="s">
        <v>286</v>
      </c>
      <c r="D14" s="57" t="s">
        <v>242</v>
      </c>
      <c r="E14" s="49" t="s">
        <v>234</v>
      </c>
      <c r="F14" s="49" t="s">
        <v>287</v>
      </c>
      <c r="G14" s="49" t="s">
        <v>288</v>
      </c>
      <c r="H14" s="49" t="s">
        <v>289</v>
      </c>
      <c r="I14" s="58" t="s">
        <v>290</v>
      </c>
      <c r="J14" s="69">
        <v>2</v>
      </c>
      <c r="K14" s="70" t="str">
        <f t="shared" ref="K14:K19" si="1">IF(J14="","",IF(J14="N/A","Not applicable",CHOOSE(J14+1,"Gap","Documented","Implemented","Evidenced","Automated")))</f>
        <v>Implemented</v>
      </c>
      <c r="L14" s="57"/>
      <c r="M14" s="59"/>
      <c r="N14" s="49" t="s">
        <v>291</v>
      </c>
      <c r="O14" s="56" t="s">
        <v>281</v>
      </c>
      <c r="P14" s="49" t="s">
        <v>292</v>
      </c>
      <c r="Q14" s="49" t="s">
        <v>293</v>
      </c>
    </row>
    <row r="15" spans="1:17" ht="57.75" customHeight="1" outlineLevel="1" x14ac:dyDescent="0.25">
      <c r="A15" s="60" t="s">
        <v>294</v>
      </c>
      <c r="B15" s="61" t="s">
        <v>159</v>
      </c>
      <c r="C15" s="51" t="s">
        <v>295</v>
      </c>
      <c r="D15" s="57" t="s">
        <v>233</v>
      </c>
      <c r="E15" s="51" t="s">
        <v>258</v>
      </c>
      <c r="F15" s="51" t="s">
        <v>296</v>
      </c>
      <c r="G15" s="51" t="s">
        <v>297</v>
      </c>
      <c r="H15" s="51" t="s">
        <v>113</v>
      </c>
      <c r="I15" s="62" t="s">
        <v>298</v>
      </c>
      <c r="J15" s="69">
        <v>1</v>
      </c>
      <c r="K15" s="71" t="str">
        <f t="shared" si="1"/>
        <v>Documented</v>
      </c>
      <c r="L15" s="57"/>
      <c r="M15" s="59"/>
      <c r="N15" s="51" t="s">
        <v>299</v>
      </c>
      <c r="O15" s="61" t="s">
        <v>34</v>
      </c>
      <c r="P15" s="51" t="s">
        <v>300</v>
      </c>
      <c r="Q15" s="51" t="s">
        <v>301</v>
      </c>
    </row>
    <row r="16" spans="1:17" ht="57.75" customHeight="1" outlineLevel="1" x14ac:dyDescent="0.25">
      <c r="A16" s="55" t="s">
        <v>302</v>
      </c>
      <c r="B16" s="56" t="s">
        <v>159</v>
      </c>
      <c r="C16" s="49" t="s">
        <v>303</v>
      </c>
      <c r="D16" s="57" t="s">
        <v>242</v>
      </c>
      <c r="E16" s="49" t="s">
        <v>234</v>
      </c>
      <c r="F16" s="49" t="s">
        <v>244</v>
      </c>
      <c r="G16" s="49" t="s">
        <v>304</v>
      </c>
      <c r="H16" s="78" t="s">
        <v>305</v>
      </c>
      <c r="I16" s="58" t="s">
        <v>306</v>
      </c>
      <c r="J16" s="69">
        <v>1</v>
      </c>
      <c r="K16" s="70" t="str">
        <f t="shared" si="1"/>
        <v>Documented</v>
      </c>
      <c r="L16" s="57"/>
      <c r="M16" s="59"/>
      <c r="N16" s="49" t="s">
        <v>307</v>
      </c>
      <c r="O16" s="56" t="s">
        <v>34</v>
      </c>
      <c r="P16" s="49" t="s">
        <v>308</v>
      </c>
      <c r="Q16" s="49" t="s">
        <v>309</v>
      </c>
    </row>
    <row r="17" spans="1:17" ht="57.75" customHeight="1" outlineLevel="1" x14ac:dyDescent="0.25">
      <c r="A17" s="60" t="s">
        <v>310</v>
      </c>
      <c r="B17" s="61" t="s">
        <v>159</v>
      </c>
      <c r="C17" s="51" t="s">
        <v>311</v>
      </c>
      <c r="D17" s="57" t="s">
        <v>233</v>
      </c>
      <c r="E17" s="51" t="s">
        <v>234</v>
      </c>
      <c r="F17" s="51" t="s">
        <v>312</v>
      </c>
      <c r="G17" s="51" t="s">
        <v>313</v>
      </c>
      <c r="H17" s="51" t="s">
        <v>314</v>
      </c>
      <c r="I17" s="62" t="s">
        <v>315</v>
      </c>
      <c r="J17" s="69">
        <v>1</v>
      </c>
      <c r="K17" s="71" t="str">
        <f t="shared" si="1"/>
        <v>Documented</v>
      </c>
      <c r="L17" s="57"/>
      <c r="M17" s="59"/>
      <c r="N17" s="51" t="s">
        <v>316</v>
      </c>
      <c r="O17" s="61" t="s">
        <v>34</v>
      </c>
      <c r="P17" s="51" t="s">
        <v>317</v>
      </c>
      <c r="Q17" s="51" t="s">
        <v>318</v>
      </c>
    </row>
    <row r="18" spans="1:17" ht="57.75" customHeight="1" outlineLevel="1" x14ac:dyDescent="0.25">
      <c r="A18" s="55" t="s">
        <v>319</v>
      </c>
      <c r="B18" s="56" t="s">
        <v>159</v>
      </c>
      <c r="C18" s="49" t="s">
        <v>320</v>
      </c>
      <c r="D18" s="57" t="s">
        <v>233</v>
      </c>
      <c r="E18" s="49" t="s">
        <v>234</v>
      </c>
      <c r="F18" s="49" t="s">
        <v>312</v>
      </c>
      <c r="G18" s="49" t="s">
        <v>321</v>
      </c>
      <c r="H18" s="49" t="s">
        <v>322</v>
      </c>
      <c r="I18" s="58" t="s">
        <v>323</v>
      </c>
      <c r="J18" s="69" t="s">
        <v>324</v>
      </c>
      <c r="K18" s="70" t="str">
        <f t="shared" si="1"/>
        <v>Not applicable</v>
      </c>
      <c r="L18" s="57" t="s">
        <v>325</v>
      </c>
      <c r="M18" s="59"/>
      <c r="N18" s="49" t="s">
        <v>326</v>
      </c>
      <c r="O18" s="56" t="s">
        <v>35</v>
      </c>
      <c r="P18" s="49" t="s">
        <v>327</v>
      </c>
      <c r="Q18" s="49" t="s">
        <v>328</v>
      </c>
    </row>
    <row r="19" spans="1:17" ht="57.75" customHeight="1" outlineLevel="1" x14ac:dyDescent="0.25">
      <c r="A19" s="60" t="s">
        <v>61</v>
      </c>
      <c r="B19" s="61" t="s">
        <v>159</v>
      </c>
      <c r="C19" s="51" t="s">
        <v>62</v>
      </c>
      <c r="D19" s="57" t="s">
        <v>233</v>
      </c>
      <c r="E19" s="51" t="s">
        <v>234</v>
      </c>
      <c r="F19" s="51" t="s">
        <v>244</v>
      </c>
      <c r="G19" s="51" t="s">
        <v>329</v>
      </c>
      <c r="H19" s="51" t="s">
        <v>330</v>
      </c>
      <c r="I19" s="62" t="s">
        <v>331</v>
      </c>
      <c r="J19" s="69">
        <v>0</v>
      </c>
      <c r="K19" s="71" t="str">
        <f t="shared" si="1"/>
        <v>Gap</v>
      </c>
      <c r="L19" s="57"/>
      <c r="M19" s="59"/>
      <c r="N19" s="51" t="s">
        <v>332</v>
      </c>
      <c r="O19" s="61" t="s">
        <v>35</v>
      </c>
      <c r="P19" s="51" t="s">
        <v>333</v>
      </c>
      <c r="Q19" s="51" t="s">
        <v>334</v>
      </c>
    </row>
    <row r="20" spans="1:17" ht="26" customHeight="1" outlineLevel="1" x14ac:dyDescent="0.25">
      <c r="A20" s="60"/>
      <c r="B20" s="61"/>
      <c r="C20" s="51"/>
      <c r="D20" s="57"/>
      <c r="E20" s="51"/>
      <c r="F20" s="51"/>
      <c r="G20" s="51"/>
      <c r="H20" s="51"/>
      <c r="I20" s="62"/>
      <c r="J20" s="69"/>
      <c r="K20" s="71"/>
      <c r="L20" s="57"/>
      <c r="M20" s="59"/>
      <c r="N20" s="86"/>
      <c r="O20" s="86"/>
      <c r="P20" s="86"/>
      <c r="Q20" s="86"/>
    </row>
    <row r="21" spans="1:17" ht="19.5" customHeight="1" x14ac:dyDescent="0.25">
      <c r="A21" s="52" t="s">
        <v>160</v>
      </c>
      <c r="B21" s="52"/>
      <c r="C21" s="53" t="s">
        <v>335</v>
      </c>
      <c r="D21" s="53"/>
      <c r="E21" s="53"/>
      <c r="F21" s="53"/>
      <c r="G21" s="53"/>
      <c r="H21" s="53"/>
      <c r="I21" s="53"/>
      <c r="J21" s="67">
        <f>IFERROR(ROUND(AVERAGE(J22:J26),1),"")</f>
        <v>0.4</v>
      </c>
      <c r="K21" s="68" t="str">
        <f>IF(COUNT(J22:J26)=0,IF(COUNTIF(J22:J26,"N/A")&gt;0,"all n/a","not scored"),COUNTIF(J22:J26,0)&amp;" gaps, "&amp;COUNTIFS(J22:J26,"&lt;3")&amp;" below 3")</f>
        <v>3 gaps, 5 below 3</v>
      </c>
      <c r="L21" s="53"/>
      <c r="M21" s="54"/>
      <c r="N21" s="53"/>
      <c r="O21" s="52" t="s">
        <v>336</v>
      </c>
      <c r="P21" s="53"/>
      <c r="Q21" s="53"/>
    </row>
    <row r="22" spans="1:17" ht="57.75" customHeight="1" outlineLevel="1" x14ac:dyDescent="0.25">
      <c r="A22" s="55" t="s">
        <v>63</v>
      </c>
      <c r="B22" s="56" t="s">
        <v>160</v>
      </c>
      <c r="C22" s="49" t="s">
        <v>64</v>
      </c>
      <c r="D22" s="57" t="s">
        <v>233</v>
      </c>
      <c r="E22" s="49" t="s">
        <v>337</v>
      </c>
      <c r="F22" s="49" t="s">
        <v>287</v>
      </c>
      <c r="G22" s="49" t="s">
        <v>338</v>
      </c>
      <c r="H22" s="49" t="s">
        <v>339</v>
      </c>
      <c r="I22" s="58" t="s">
        <v>340</v>
      </c>
      <c r="J22" s="69">
        <v>0</v>
      </c>
      <c r="K22" s="70" t="str">
        <f>IF(J22="","",IF(J22="N/A","Not applicable",CHOOSE(J22+1,"Gap","Documented","Implemented","Evidenced","Automated")))</f>
        <v>Gap</v>
      </c>
      <c r="L22" s="57"/>
      <c r="M22" s="59"/>
      <c r="N22" s="49" t="s">
        <v>341</v>
      </c>
      <c r="O22" s="56" t="s">
        <v>35</v>
      </c>
      <c r="P22" s="49" t="s">
        <v>342</v>
      </c>
      <c r="Q22" s="49" t="s">
        <v>343</v>
      </c>
    </row>
    <row r="23" spans="1:17" ht="57.75" customHeight="1" outlineLevel="1" x14ac:dyDescent="0.25">
      <c r="A23" s="60" t="s">
        <v>344</v>
      </c>
      <c r="B23" s="61" t="s">
        <v>160</v>
      </c>
      <c r="C23" s="51" t="s">
        <v>345</v>
      </c>
      <c r="D23" s="57" t="s">
        <v>233</v>
      </c>
      <c r="E23" s="51" t="s">
        <v>234</v>
      </c>
      <c r="F23" s="51" t="s">
        <v>287</v>
      </c>
      <c r="G23" s="51" t="s">
        <v>346</v>
      </c>
      <c r="H23" s="51" t="s">
        <v>347</v>
      </c>
      <c r="I23" s="62" t="s">
        <v>348</v>
      </c>
      <c r="J23" s="69">
        <v>1</v>
      </c>
      <c r="K23" s="71" t="str">
        <f>IF(J23="","",IF(J23="N/A","Not applicable",CHOOSE(J23+1,"Gap","Documented","Implemented","Evidenced","Automated")))</f>
        <v>Documented</v>
      </c>
      <c r="L23" s="57"/>
      <c r="M23" s="59"/>
      <c r="N23" s="51" t="s">
        <v>349</v>
      </c>
      <c r="O23" s="61" t="s">
        <v>281</v>
      </c>
      <c r="P23" s="51" t="s">
        <v>350</v>
      </c>
      <c r="Q23" s="51" t="s">
        <v>293</v>
      </c>
    </row>
    <row r="24" spans="1:17" ht="57.75" customHeight="1" outlineLevel="1" x14ac:dyDescent="0.25">
      <c r="A24" s="55" t="s">
        <v>351</v>
      </c>
      <c r="B24" s="56" t="s">
        <v>160</v>
      </c>
      <c r="C24" s="49" t="s">
        <v>352</v>
      </c>
      <c r="D24" s="57" t="s">
        <v>242</v>
      </c>
      <c r="E24" s="49" t="s">
        <v>234</v>
      </c>
      <c r="F24" s="49" t="s">
        <v>287</v>
      </c>
      <c r="G24" s="49" t="s">
        <v>353</v>
      </c>
      <c r="H24" s="49" t="s">
        <v>354</v>
      </c>
      <c r="I24" s="58" t="s">
        <v>355</v>
      </c>
      <c r="J24" s="69">
        <v>1</v>
      </c>
      <c r="K24" s="70" t="str">
        <f>IF(J24="","",IF(J24="N/A","Not applicable",CHOOSE(J24+1,"Gap","Documented","Implemented","Evidenced","Automated")))</f>
        <v>Documented</v>
      </c>
      <c r="L24" s="57"/>
      <c r="M24" s="59"/>
      <c r="N24" s="49" t="s">
        <v>332</v>
      </c>
      <c r="O24" s="56" t="s">
        <v>281</v>
      </c>
      <c r="P24" s="49" t="s">
        <v>356</v>
      </c>
      <c r="Q24" s="49" t="s">
        <v>293</v>
      </c>
    </row>
    <row r="25" spans="1:17" ht="57.75" customHeight="1" outlineLevel="1" x14ac:dyDescent="0.25">
      <c r="A25" s="60" t="s">
        <v>65</v>
      </c>
      <c r="B25" s="61" t="s">
        <v>160</v>
      </c>
      <c r="C25" s="51" t="s">
        <v>66</v>
      </c>
      <c r="D25" s="57" t="s">
        <v>233</v>
      </c>
      <c r="E25" s="51" t="s">
        <v>266</v>
      </c>
      <c r="F25" s="51" t="s">
        <v>296</v>
      </c>
      <c r="G25" s="51" t="s">
        <v>357</v>
      </c>
      <c r="H25" s="51" t="s">
        <v>113</v>
      </c>
      <c r="I25" s="62" t="s">
        <v>358</v>
      </c>
      <c r="J25" s="69">
        <v>0</v>
      </c>
      <c r="K25" s="71" t="str">
        <f>IF(J25="","",IF(J25="N/A","Not applicable",CHOOSE(J25+1,"Gap","Documented","Implemented","Evidenced","Automated")))</f>
        <v>Gap</v>
      </c>
      <c r="L25" s="57"/>
      <c r="M25" s="59"/>
      <c r="N25" s="51" t="s">
        <v>299</v>
      </c>
      <c r="O25" s="61" t="s">
        <v>35</v>
      </c>
      <c r="P25" s="51" t="s">
        <v>359</v>
      </c>
      <c r="Q25" s="51" t="s">
        <v>360</v>
      </c>
    </row>
    <row r="26" spans="1:17" ht="57.75" customHeight="1" outlineLevel="1" x14ac:dyDescent="0.25">
      <c r="A26" s="55" t="s">
        <v>67</v>
      </c>
      <c r="B26" s="56" t="s">
        <v>160</v>
      </c>
      <c r="C26" s="49" t="s">
        <v>68</v>
      </c>
      <c r="D26" s="57" t="s">
        <v>242</v>
      </c>
      <c r="E26" s="49" t="s">
        <v>234</v>
      </c>
      <c r="F26" s="49" t="s">
        <v>312</v>
      </c>
      <c r="G26" s="49" t="s">
        <v>361</v>
      </c>
      <c r="H26" s="49" t="s">
        <v>362</v>
      </c>
      <c r="I26" s="58" t="s">
        <v>363</v>
      </c>
      <c r="J26" s="69">
        <v>0</v>
      </c>
      <c r="K26" s="70" t="str">
        <f>IF(J26="","",IF(J26="N/A","Not applicable",CHOOSE(J26+1,"Gap","Documented","Implemented","Evidenced","Automated")))</f>
        <v>Gap</v>
      </c>
      <c r="L26" s="57"/>
      <c r="M26" s="59"/>
      <c r="N26" s="49" t="s">
        <v>364</v>
      </c>
      <c r="O26" s="56" t="s">
        <v>35</v>
      </c>
      <c r="P26" s="49" t="s">
        <v>365</v>
      </c>
      <c r="Q26" s="49" t="s">
        <v>366</v>
      </c>
    </row>
    <row r="27" spans="1:17" ht="19.5" customHeight="1" x14ac:dyDescent="0.25">
      <c r="A27" s="52" t="s">
        <v>161</v>
      </c>
      <c r="B27" s="52"/>
      <c r="C27" s="53" t="s">
        <v>367</v>
      </c>
      <c r="D27" s="53"/>
      <c r="E27" s="53"/>
      <c r="F27" s="53"/>
      <c r="G27" s="53"/>
      <c r="H27" s="53"/>
      <c r="I27" s="53"/>
      <c r="J27" s="67">
        <f>IFERROR(ROUND(AVERAGE(J28:J33),1),"")</f>
        <v>0.5</v>
      </c>
      <c r="K27" s="68" t="str">
        <f>IF(COUNT(J28:J33)=0,IF(COUNTIF(J28:J33,"N/A")&gt;0,"all n/a","not scored"),COUNTIF(J28:J33,0)&amp;" gaps, "&amp;COUNTIFS(J28:J33,"&lt;3")&amp;" below 3")</f>
        <v>3 gaps, 6 below 3</v>
      </c>
      <c r="L27" s="53"/>
      <c r="M27" s="54"/>
      <c r="N27" s="53"/>
      <c r="O27" s="52" t="s">
        <v>368</v>
      </c>
      <c r="P27" s="53"/>
      <c r="Q27" s="53"/>
    </row>
    <row r="28" spans="1:17" ht="57.75" customHeight="1" outlineLevel="1" x14ac:dyDescent="0.25">
      <c r="A28" s="55" t="s">
        <v>69</v>
      </c>
      <c r="B28" s="56" t="s">
        <v>161</v>
      </c>
      <c r="C28" s="49" t="s">
        <v>70</v>
      </c>
      <c r="D28" s="57" t="s">
        <v>233</v>
      </c>
      <c r="E28" s="49" t="s">
        <v>234</v>
      </c>
      <c r="F28" s="49" t="s">
        <v>287</v>
      </c>
      <c r="G28" s="49" t="s">
        <v>369</v>
      </c>
      <c r="H28" s="49" t="s">
        <v>347</v>
      </c>
      <c r="I28" s="58" t="s">
        <v>370</v>
      </c>
      <c r="J28" s="69">
        <v>0</v>
      </c>
      <c r="K28" s="70" t="str">
        <f t="shared" ref="K28:K33" si="2">IF(J28="","",IF(J28="N/A","Not applicable",CHOOSE(J28+1,"Gap","Documented","Implemented","Evidenced","Automated")))</f>
        <v>Gap</v>
      </c>
      <c r="L28" s="57"/>
      <c r="M28" s="59"/>
      <c r="N28" s="49" t="s">
        <v>349</v>
      </c>
      <c r="O28" s="56" t="s">
        <v>34</v>
      </c>
      <c r="P28" s="49" t="s">
        <v>371</v>
      </c>
      <c r="Q28" s="49" t="s">
        <v>372</v>
      </c>
    </row>
    <row r="29" spans="1:17" ht="57.75" customHeight="1" outlineLevel="1" x14ac:dyDescent="0.25">
      <c r="A29" s="60" t="s">
        <v>373</v>
      </c>
      <c r="B29" s="61" t="s">
        <v>161</v>
      </c>
      <c r="C29" s="51" t="s">
        <v>374</v>
      </c>
      <c r="D29" s="57" t="s">
        <v>242</v>
      </c>
      <c r="E29" s="51" t="s">
        <v>375</v>
      </c>
      <c r="F29" s="51" t="s">
        <v>244</v>
      </c>
      <c r="G29" s="51" t="s">
        <v>376</v>
      </c>
      <c r="H29" s="51" t="s">
        <v>377</v>
      </c>
      <c r="I29" s="62" t="s">
        <v>378</v>
      </c>
      <c r="J29" s="69">
        <v>1</v>
      </c>
      <c r="K29" s="71" t="str">
        <f t="shared" si="2"/>
        <v>Documented</v>
      </c>
      <c r="L29" s="57"/>
      <c r="M29" s="59"/>
      <c r="N29" s="51" t="s">
        <v>379</v>
      </c>
      <c r="O29" s="61" t="s">
        <v>281</v>
      </c>
      <c r="P29" s="51" t="s">
        <v>380</v>
      </c>
      <c r="Q29" s="51" t="s">
        <v>381</v>
      </c>
    </row>
    <row r="30" spans="1:17" ht="57.75" customHeight="1" outlineLevel="1" x14ac:dyDescent="0.25">
      <c r="A30" s="55" t="s">
        <v>382</v>
      </c>
      <c r="B30" s="56" t="s">
        <v>161</v>
      </c>
      <c r="C30" s="49" t="s">
        <v>383</v>
      </c>
      <c r="D30" s="57" t="s">
        <v>242</v>
      </c>
      <c r="E30" s="49" t="s">
        <v>375</v>
      </c>
      <c r="F30" s="49" t="s">
        <v>244</v>
      </c>
      <c r="G30" s="49" t="s">
        <v>384</v>
      </c>
      <c r="H30" s="49" t="s">
        <v>385</v>
      </c>
      <c r="I30" s="58" t="s">
        <v>386</v>
      </c>
      <c r="J30" s="69">
        <v>1</v>
      </c>
      <c r="K30" s="70" t="str">
        <f t="shared" si="2"/>
        <v>Documented</v>
      </c>
      <c r="L30" s="57"/>
      <c r="M30" s="59"/>
      <c r="N30" s="49" t="s">
        <v>387</v>
      </c>
      <c r="O30" s="56" t="s">
        <v>281</v>
      </c>
      <c r="P30" s="49" t="s">
        <v>388</v>
      </c>
      <c r="Q30" s="49" t="s">
        <v>293</v>
      </c>
    </row>
    <row r="31" spans="1:17" ht="57.75" customHeight="1" outlineLevel="1" x14ac:dyDescent="0.25">
      <c r="A31" s="60" t="s">
        <v>389</v>
      </c>
      <c r="B31" s="61" t="s">
        <v>161</v>
      </c>
      <c r="C31" s="51" t="s">
        <v>390</v>
      </c>
      <c r="D31" s="57" t="s">
        <v>242</v>
      </c>
      <c r="E31" s="51" t="s">
        <v>243</v>
      </c>
      <c r="F31" s="51" t="s">
        <v>244</v>
      </c>
      <c r="G31" s="51" t="s">
        <v>391</v>
      </c>
      <c r="H31" s="51" t="s">
        <v>392</v>
      </c>
      <c r="I31" s="62" t="s">
        <v>393</v>
      </c>
      <c r="J31" s="69">
        <v>1</v>
      </c>
      <c r="K31" s="71" t="str">
        <f t="shared" si="2"/>
        <v>Documented</v>
      </c>
      <c r="L31" s="57"/>
      <c r="M31" s="59"/>
      <c r="N31" s="51" t="s">
        <v>394</v>
      </c>
      <c r="O31" s="61" t="s">
        <v>281</v>
      </c>
      <c r="P31" s="51" t="s">
        <v>395</v>
      </c>
      <c r="Q31" s="51" t="s">
        <v>293</v>
      </c>
    </row>
    <row r="32" spans="1:17" ht="57.75" customHeight="1" outlineLevel="1" x14ac:dyDescent="0.25">
      <c r="A32" s="55" t="s">
        <v>71</v>
      </c>
      <c r="B32" s="56" t="s">
        <v>161</v>
      </c>
      <c r="C32" s="49" t="s">
        <v>72</v>
      </c>
      <c r="D32" s="57" t="s">
        <v>242</v>
      </c>
      <c r="E32" s="49" t="s">
        <v>243</v>
      </c>
      <c r="F32" s="49" t="s">
        <v>244</v>
      </c>
      <c r="G32" s="49" t="s">
        <v>396</v>
      </c>
      <c r="H32" s="49" t="s">
        <v>246</v>
      </c>
      <c r="I32" s="58" t="s">
        <v>397</v>
      </c>
      <c r="J32" s="69">
        <v>0</v>
      </c>
      <c r="K32" s="70" t="str">
        <f t="shared" si="2"/>
        <v>Gap</v>
      </c>
      <c r="L32" s="57"/>
      <c r="M32" s="59"/>
      <c r="N32" s="49" t="s">
        <v>398</v>
      </c>
      <c r="O32" s="56" t="s">
        <v>34</v>
      </c>
      <c r="P32" s="49" t="s">
        <v>399</v>
      </c>
      <c r="Q32" s="49" t="s">
        <v>400</v>
      </c>
    </row>
    <row r="33" spans="1:17" ht="57.75" customHeight="1" outlineLevel="1" x14ac:dyDescent="0.25">
      <c r="A33" s="60" t="s">
        <v>73</v>
      </c>
      <c r="B33" s="61" t="s">
        <v>161</v>
      </c>
      <c r="C33" s="51" t="s">
        <v>74</v>
      </c>
      <c r="D33" s="57" t="s">
        <v>242</v>
      </c>
      <c r="E33" s="51" t="s">
        <v>401</v>
      </c>
      <c r="F33" s="51" t="s">
        <v>244</v>
      </c>
      <c r="G33" s="51" t="s">
        <v>402</v>
      </c>
      <c r="H33" s="51" t="s">
        <v>403</v>
      </c>
      <c r="I33" s="62" t="s">
        <v>404</v>
      </c>
      <c r="J33" s="69">
        <v>0</v>
      </c>
      <c r="K33" s="71" t="str">
        <f t="shared" si="2"/>
        <v>Gap</v>
      </c>
      <c r="L33" s="57"/>
      <c r="M33" s="59"/>
      <c r="N33" s="51" t="s">
        <v>405</v>
      </c>
      <c r="O33" s="61" t="s">
        <v>35</v>
      </c>
      <c r="P33" s="51" t="s">
        <v>406</v>
      </c>
      <c r="Q33" s="51" t="s">
        <v>407</v>
      </c>
    </row>
    <row r="34" spans="1:17" ht="19.5" customHeight="1" x14ac:dyDescent="0.25">
      <c r="A34" s="52" t="s">
        <v>162</v>
      </c>
      <c r="B34" s="52"/>
      <c r="C34" s="53" t="s">
        <v>408</v>
      </c>
      <c r="D34" s="53"/>
      <c r="E34" s="53"/>
      <c r="F34" s="53"/>
      <c r="G34" s="53"/>
      <c r="H34" s="53"/>
      <c r="I34" s="53"/>
      <c r="J34" s="67">
        <f>IFERROR(ROUND(AVERAGE(J35:J39),1),"")</f>
        <v>0.8</v>
      </c>
      <c r="K34" s="68" t="str">
        <f>IF(COUNT(J35:J39)=0,IF(COUNTIF(J35:J39,"N/A")&gt;0,"all n/a","not scored"),COUNTIF(J35:J39,0)&amp;" gaps, "&amp;COUNTIFS(J35:J39,"&lt;3")&amp;" below 3")</f>
        <v>1 gaps, 5 below 3</v>
      </c>
      <c r="L34" s="53"/>
      <c r="M34" s="54"/>
      <c r="N34" s="53"/>
      <c r="O34" s="52" t="s">
        <v>336</v>
      </c>
      <c r="P34" s="53"/>
      <c r="Q34" s="53"/>
    </row>
    <row r="35" spans="1:17" ht="57.75" customHeight="1" outlineLevel="1" x14ac:dyDescent="0.25">
      <c r="A35" s="55" t="s">
        <v>409</v>
      </c>
      <c r="B35" s="56" t="s">
        <v>162</v>
      </c>
      <c r="C35" s="49" t="s">
        <v>410</v>
      </c>
      <c r="D35" s="57" t="s">
        <v>242</v>
      </c>
      <c r="E35" s="49" t="s">
        <v>243</v>
      </c>
      <c r="F35" s="49" t="s">
        <v>244</v>
      </c>
      <c r="G35" s="49" t="s">
        <v>411</v>
      </c>
      <c r="H35" s="49" t="s">
        <v>246</v>
      </c>
      <c r="I35" s="58" t="s">
        <v>412</v>
      </c>
      <c r="J35" s="69">
        <v>1</v>
      </c>
      <c r="K35" s="70" t="str">
        <f>IF(J35="","",IF(J35="N/A","Not applicable",CHOOSE(J35+1,"Gap","Documented","Implemented","Evidenced","Automated")))</f>
        <v>Documented</v>
      </c>
      <c r="L35" s="57"/>
      <c r="M35" s="59"/>
      <c r="N35" s="49" t="s">
        <v>248</v>
      </c>
      <c r="O35" s="56" t="s">
        <v>281</v>
      </c>
      <c r="P35" s="49" t="s">
        <v>413</v>
      </c>
      <c r="Q35" s="49" t="s">
        <v>293</v>
      </c>
    </row>
    <row r="36" spans="1:17" ht="57.75" customHeight="1" outlineLevel="1" x14ac:dyDescent="0.25">
      <c r="A36" s="60" t="s">
        <v>75</v>
      </c>
      <c r="B36" s="61" t="s">
        <v>162</v>
      </c>
      <c r="C36" s="51" t="s">
        <v>76</v>
      </c>
      <c r="D36" s="57" t="s">
        <v>233</v>
      </c>
      <c r="E36" s="51" t="s">
        <v>234</v>
      </c>
      <c r="F36" s="51" t="s">
        <v>312</v>
      </c>
      <c r="G36" s="51" t="s">
        <v>414</v>
      </c>
      <c r="H36" s="51" t="s">
        <v>415</v>
      </c>
      <c r="I36" s="62" t="s">
        <v>416</v>
      </c>
      <c r="J36" s="69">
        <v>0</v>
      </c>
      <c r="K36" s="71" t="str">
        <f>IF(J36="","",IF(J36="N/A","Not applicable",CHOOSE(J36+1,"Gap","Documented","Implemented","Evidenced","Automated")))</f>
        <v>Gap</v>
      </c>
      <c r="L36" s="57"/>
      <c r="M36" s="59"/>
      <c r="N36" s="51" t="s">
        <v>387</v>
      </c>
      <c r="O36" s="61" t="s">
        <v>35</v>
      </c>
      <c r="P36" s="51" t="s">
        <v>417</v>
      </c>
      <c r="Q36" s="51" t="s">
        <v>418</v>
      </c>
    </row>
    <row r="37" spans="1:17" ht="57.75" customHeight="1" outlineLevel="1" x14ac:dyDescent="0.25">
      <c r="A37" s="55" t="s">
        <v>419</v>
      </c>
      <c r="B37" s="56" t="s">
        <v>162</v>
      </c>
      <c r="C37" s="49" t="s">
        <v>420</v>
      </c>
      <c r="D37" s="57" t="s">
        <v>242</v>
      </c>
      <c r="E37" s="49" t="s">
        <v>421</v>
      </c>
      <c r="F37" s="49" t="s">
        <v>244</v>
      </c>
      <c r="G37" s="49" t="s">
        <v>422</v>
      </c>
      <c r="H37" s="49" t="s">
        <v>423</v>
      </c>
      <c r="I37" s="58" t="s">
        <v>424</v>
      </c>
      <c r="J37" s="69">
        <v>1</v>
      </c>
      <c r="K37" s="70" t="str">
        <f>IF(J37="","",IF(J37="N/A","Not applicable",CHOOSE(J37+1,"Gap","Documented","Implemented","Evidenced","Automated")))</f>
        <v>Documented</v>
      </c>
      <c r="L37" s="57"/>
      <c r="M37" s="59"/>
      <c r="N37" s="49" t="s">
        <v>425</v>
      </c>
      <c r="O37" s="56" t="s">
        <v>34</v>
      </c>
      <c r="P37" s="49" t="s">
        <v>426</v>
      </c>
      <c r="Q37" s="49" t="s">
        <v>427</v>
      </c>
    </row>
    <row r="38" spans="1:17" ht="57.75" customHeight="1" outlineLevel="1" x14ac:dyDescent="0.25">
      <c r="A38" s="60" t="s">
        <v>428</v>
      </c>
      <c r="B38" s="61" t="s">
        <v>162</v>
      </c>
      <c r="C38" s="51" t="s">
        <v>429</v>
      </c>
      <c r="D38" s="57" t="s">
        <v>242</v>
      </c>
      <c r="E38" s="51" t="s">
        <v>421</v>
      </c>
      <c r="F38" s="51" t="s">
        <v>244</v>
      </c>
      <c r="G38" s="51" t="s">
        <v>430</v>
      </c>
      <c r="H38" s="51" t="s">
        <v>431</v>
      </c>
      <c r="I38" s="62" t="s">
        <v>432</v>
      </c>
      <c r="J38" s="69">
        <v>1</v>
      </c>
      <c r="K38" s="71" t="str">
        <f>IF(J38="","",IF(J38="N/A","Not applicable",CHOOSE(J38+1,"Gap","Documented","Implemented","Evidenced","Automated")))</f>
        <v>Documented</v>
      </c>
      <c r="L38" s="57"/>
      <c r="M38" s="59"/>
      <c r="N38" s="51" t="s">
        <v>433</v>
      </c>
      <c r="O38" s="61" t="s">
        <v>281</v>
      </c>
      <c r="P38" s="51" t="s">
        <v>434</v>
      </c>
      <c r="Q38" s="51" t="s">
        <v>293</v>
      </c>
    </row>
    <row r="39" spans="1:17" ht="57.75" customHeight="1" outlineLevel="1" x14ac:dyDescent="0.25">
      <c r="A39" s="55" t="s">
        <v>435</v>
      </c>
      <c r="B39" s="56" t="s">
        <v>162</v>
      </c>
      <c r="C39" s="49" t="s">
        <v>436</v>
      </c>
      <c r="D39" s="57" t="s">
        <v>233</v>
      </c>
      <c r="E39" s="49" t="s">
        <v>266</v>
      </c>
      <c r="F39" s="49" t="s">
        <v>267</v>
      </c>
      <c r="G39" s="49" t="s">
        <v>437</v>
      </c>
      <c r="H39" s="49" t="s">
        <v>269</v>
      </c>
      <c r="I39" s="58" t="s">
        <v>438</v>
      </c>
      <c r="J39" s="69">
        <v>1</v>
      </c>
      <c r="K39" s="70" t="str">
        <f>IF(J39="","",IF(J39="N/A","Not applicable",CHOOSE(J39+1,"Gap","Documented","Implemented","Evidenced","Automated")))</f>
        <v>Documented</v>
      </c>
      <c r="L39" s="57"/>
      <c r="M39" s="59"/>
      <c r="N39" s="49" t="s">
        <v>271</v>
      </c>
      <c r="O39" s="56" t="s">
        <v>34</v>
      </c>
      <c r="P39" s="49" t="s">
        <v>439</v>
      </c>
      <c r="Q39" s="49" t="s">
        <v>440</v>
      </c>
    </row>
    <row r="41" spans="1:17" ht="120" customHeight="1" x14ac:dyDescent="0.25">
      <c r="A41" s="63" t="s">
        <v>441</v>
      </c>
      <c r="C41" s="64" t="s">
        <v>442</v>
      </c>
    </row>
    <row r="42" spans="1:17" ht="140" customHeight="1" x14ac:dyDescent="0.25">
      <c r="A42" s="63" t="s">
        <v>443</v>
      </c>
      <c r="C42" s="64" t="s">
        <v>444</v>
      </c>
    </row>
    <row r="43" spans="1:17" ht="100" customHeight="1" x14ac:dyDescent="0.25">
      <c r="A43" s="63" t="s">
        <v>445</v>
      </c>
      <c r="C43" s="64" t="s">
        <v>446</v>
      </c>
    </row>
    <row r="45" spans="1:17" ht="220" customHeight="1" x14ac:dyDescent="0.25">
      <c r="A45" s="87" t="s">
        <v>447</v>
      </c>
      <c r="C45" s="88" t="s">
        <v>448</v>
      </c>
    </row>
  </sheetData>
  <conditionalFormatting sqref="J5:J39">
    <cfRule type="cellIs" dxfId="143" priority="2" operator="equal">
      <formula>0</formula>
    </cfRule>
    <cfRule type="cellIs" dxfId="142" priority="3" operator="equal">
      <formula>1</formula>
    </cfRule>
    <cfRule type="cellIs" dxfId="141" priority="4" operator="equal">
      <formula>2</formula>
    </cfRule>
    <cfRule type="cellIs" dxfId="140" priority="5" operator="equal">
      <formula>3</formula>
    </cfRule>
    <cfRule type="cellIs" dxfId="139" priority="6" operator="equal">
      <formula>4</formula>
    </cfRule>
    <cfRule type="cellIs" dxfId="138" priority="7" operator="equal">
      <formula>"N/A"</formula>
    </cfRule>
  </conditionalFormatting>
  <conditionalFormatting sqref="K5:K39">
    <cfRule type="expression" dxfId="137" priority="8">
      <formula>$J5=0</formula>
    </cfRule>
    <cfRule type="expression" dxfId="136" priority="9">
      <formula>$J5=1</formula>
    </cfRule>
    <cfRule type="expression" dxfId="135" priority="10">
      <formula>$J5=2</formula>
    </cfRule>
    <cfRule type="expression" dxfId="134" priority="11">
      <formula>$J5=3</formula>
    </cfRule>
    <cfRule type="expression" dxfId="133" priority="12">
      <formula>$J5=4</formula>
    </cfRule>
    <cfRule type="expression" dxfId="132" priority="13">
      <formula>$J5="N/A"</formula>
    </cfRule>
  </conditionalFormatting>
  <conditionalFormatting sqref="L5:L39">
    <cfRule type="expression" dxfId="131" priority="14">
      <formula>AND($J5="N/A",$L5="")</formula>
    </cfRule>
  </conditionalFormatting>
  <conditionalFormatting sqref="O5:O39">
    <cfRule type="cellIs" dxfId="130" priority="15" operator="equal">
      <formula>"Yes"</formula>
    </cfRule>
    <cfRule type="cellIs" dxfId="129" priority="15" operator="equal">
      <formula>"Partial"</formula>
    </cfRule>
    <cfRule type="cellIs" dxfId="128" priority="16" operator="equal">
      <formula>"No"</formula>
    </cfRule>
  </conditionalFormatting>
  <dataValidations count="2">
    <dataValidation type="list" allowBlank="1" showErrorMessage="1" errorTitle="Score out of range" error="Score each control 0 to 4, or N/A. See the scale on the Read Me tab." sqref="J5:J39" xr:uid="{00000000-0002-0000-0200-000000000000}">
      <formula1>"0,1,2,3,4,N/A"</formula1>
      <formula2>0</formula2>
    </dataValidation>
    <dataValidation type="list" allowBlank="1" sqref="O5:O39" xr:uid="{00000000-0002-0000-0200-000001000000}">
      <formula1>"Yes,Partial,No"</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Q30"/>
  <sheetViews>
    <sheetView showGridLines="0" zoomScale="85" workbookViewId="0">
      <pane ySplit="4" topLeftCell="A14" activePane="bottomLeft" state="frozen"/>
      <selection pane="bottomLeft" activeCell="J25" sqref="J25"/>
    </sheetView>
  </sheetViews>
  <sheetFormatPr baseColWidth="10" defaultColWidth="8.83203125" defaultRowHeight="21" outlineLevelRow="1" x14ac:dyDescent="0.25"/>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style="65" customWidth="1"/>
    <col min="11" max="11" width="24.83203125" style="65" customWidth="1"/>
    <col min="12" max="12" width="34" customWidth="1"/>
    <col min="13" max="13" width="12" customWidth="1"/>
    <col min="14" max="14" width="40" customWidth="1"/>
    <col min="15" max="15" width="12" customWidth="1"/>
    <col min="16" max="17" width="58" customWidth="1"/>
  </cols>
  <sheetData>
    <row r="1" spans="1:17" x14ac:dyDescent="0.25">
      <c r="A1" s="2" t="s">
        <v>449</v>
      </c>
    </row>
    <row r="2" spans="1:17" x14ac:dyDescent="0.25">
      <c r="A2" s="46" t="s">
        <v>450</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228</v>
      </c>
      <c r="P4" s="47" t="s">
        <v>229</v>
      </c>
      <c r="Q4" s="47" t="s">
        <v>230</v>
      </c>
    </row>
    <row r="5" spans="1:17" ht="19.5" customHeight="1" x14ac:dyDescent="0.2">
      <c r="A5" s="52" t="s">
        <v>164</v>
      </c>
      <c r="B5" s="52"/>
      <c r="C5" s="53" t="s">
        <v>451</v>
      </c>
      <c r="D5" s="53"/>
      <c r="E5" s="53"/>
      <c r="F5" s="53"/>
      <c r="G5" s="53"/>
      <c r="H5" s="53"/>
      <c r="I5" s="53"/>
      <c r="J5" s="67">
        <f>IFERROR(ROUND(AVERAGE(J6:J10),1),"")</f>
        <v>1</v>
      </c>
      <c r="K5" s="68" t="str">
        <f>IF(COUNT(J6:J10)=0,IF(COUNTIF(J6:J10,"N/A")&gt;0,"all n/a","not scored"),COUNTIF(J6:J10,0)&amp;" gaps, "&amp;COUNTIFS(J6:J10,"&lt;3")&amp;" below 3")</f>
        <v>0 gaps, 5 below 3</v>
      </c>
      <c r="L5" s="53"/>
      <c r="M5" s="54"/>
      <c r="N5" s="53"/>
      <c r="O5" s="52" t="s">
        <v>452</v>
      </c>
      <c r="P5" s="53"/>
      <c r="Q5" s="53"/>
    </row>
    <row r="6" spans="1:17" ht="57.75" customHeight="1" outlineLevel="1" x14ac:dyDescent="0.2">
      <c r="A6" s="55" t="s">
        <v>453</v>
      </c>
      <c r="B6" s="56" t="s">
        <v>164</v>
      </c>
      <c r="C6" s="49" t="s">
        <v>454</v>
      </c>
      <c r="D6" s="57" t="s">
        <v>242</v>
      </c>
      <c r="E6" s="49" t="s">
        <v>234</v>
      </c>
      <c r="F6" s="49" t="s">
        <v>287</v>
      </c>
      <c r="G6" s="49" t="s">
        <v>455</v>
      </c>
      <c r="H6" s="49" t="s">
        <v>456</v>
      </c>
      <c r="I6" s="58" t="s">
        <v>457</v>
      </c>
      <c r="J6" s="69">
        <v>1</v>
      </c>
      <c r="K6" s="70" t="str">
        <f>IF(J6="","",IF(J6="N/A","Not applicable",CHOOSE(J6+1,"Gap","Documented","Implemented","Evidenced","Automated")))</f>
        <v>Documented</v>
      </c>
      <c r="L6" s="57"/>
      <c r="M6" s="59"/>
      <c r="N6" s="49" t="s">
        <v>458</v>
      </c>
      <c r="O6" s="56" t="s">
        <v>281</v>
      </c>
      <c r="P6" s="49" t="s">
        <v>459</v>
      </c>
      <c r="Q6" s="49" t="s">
        <v>460</v>
      </c>
    </row>
    <row r="7" spans="1:17" ht="57.75" customHeight="1" outlineLevel="1" x14ac:dyDescent="0.2">
      <c r="A7" s="55" t="s">
        <v>461</v>
      </c>
      <c r="B7" s="56" t="s">
        <v>164</v>
      </c>
      <c r="C7" s="49" t="s">
        <v>462</v>
      </c>
      <c r="D7" s="57" t="s">
        <v>242</v>
      </c>
      <c r="E7" s="49" t="s">
        <v>421</v>
      </c>
      <c r="F7" s="49" t="s">
        <v>244</v>
      </c>
      <c r="G7" s="49" t="s">
        <v>463</v>
      </c>
      <c r="H7" s="49" t="s">
        <v>464</v>
      </c>
      <c r="I7" s="58" t="s">
        <v>465</v>
      </c>
      <c r="J7" s="69">
        <v>1</v>
      </c>
      <c r="K7" s="70" t="str">
        <f>IF(J7="","",IF(J7="N/A","Not applicable",CHOOSE(J7+1,"Gap","Documented","Implemented","Evidenced","Automated")))</f>
        <v>Documented</v>
      </c>
      <c r="L7" s="57" t="s">
        <v>466</v>
      </c>
      <c r="M7" s="59"/>
      <c r="N7" s="49" t="s">
        <v>467</v>
      </c>
      <c r="O7" s="56" t="s">
        <v>281</v>
      </c>
      <c r="P7" s="49" t="s">
        <v>468</v>
      </c>
      <c r="Q7" s="49" t="s">
        <v>293</v>
      </c>
    </row>
    <row r="8" spans="1:17" ht="57.75" customHeight="1" outlineLevel="1" x14ac:dyDescent="0.2">
      <c r="A8" s="55" t="s">
        <v>469</v>
      </c>
      <c r="B8" s="56" t="s">
        <v>164</v>
      </c>
      <c r="C8" s="49" t="s">
        <v>470</v>
      </c>
      <c r="D8" s="57" t="s">
        <v>242</v>
      </c>
      <c r="E8" s="49" t="s">
        <v>234</v>
      </c>
      <c r="F8" s="49" t="s">
        <v>244</v>
      </c>
      <c r="G8" s="49" t="s">
        <v>471</v>
      </c>
      <c r="H8" s="49" t="s">
        <v>472</v>
      </c>
      <c r="I8" s="58" t="s">
        <v>473</v>
      </c>
      <c r="J8" s="69">
        <v>1</v>
      </c>
      <c r="K8" s="70" t="str">
        <f>IF(J8="","",IF(J8="N/A","Not applicable",CHOOSE(J8+1,"Gap","Documented","Implemented","Evidenced","Automated")))</f>
        <v>Documented</v>
      </c>
      <c r="L8" s="57"/>
      <c r="M8" s="59"/>
      <c r="N8" s="49" t="s">
        <v>474</v>
      </c>
      <c r="O8" s="56" t="s">
        <v>281</v>
      </c>
      <c r="P8" s="49" t="s">
        <v>475</v>
      </c>
      <c r="Q8" s="49" t="s">
        <v>293</v>
      </c>
    </row>
    <row r="9" spans="1:17" ht="57.75" customHeight="1" outlineLevel="1" x14ac:dyDescent="0.2">
      <c r="A9" s="55" t="s">
        <v>476</v>
      </c>
      <c r="B9" s="56" t="s">
        <v>164</v>
      </c>
      <c r="C9" s="49" t="s">
        <v>477</v>
      </c>
      <c r="D9" s="57" t="s">
        <v>242</v>
      </c>
      <c r="E9" s="49" t="s">
        <v>258</v>
      </c>
      <c r="F9" s="49" t="s">
        <v>478</v>
      </c>
      <c r="G9" s="49" t="s">
        <v>479</v>
      </c>
      <c r="H9" s="49" t="s">
        <v>480</v>
      </c>
      <c r="I9" s="58" t="s">
        <v>481</v>
      </c>
      <c r="J9" s="69">
        <v>1</v>
      </c>
      <c r="K9" s="70" t="str">
        <f>IF(J9="","",IF(J9="N/A","Not applicable",CHOOSE(J9+1,"Gap","Documented","Implemented","Evidenced","Automated")))</f>
        <v>Documented</v>
      </c>
      <c r="L9" s="57"/>
      <c r="M9" s="59"/>
      <c r="N9" s="49" t="s">
        <v>482</v>
      </c>
      <c r="O9" s="56" t="s">
        <v>281</v>
      </c>
      <c r="P9" s="49" t="s">
        <v>483</v>
      </c>
      <c r="Q9" s="49" t="s">
        <v>293</v>
      </c>
    </row>
    <row r="10" spans="1:17" ht="57.75" customHeight="1" outlineLevel="1" x14ac:dyDescent="0.2">
      <c r="A10" s="55" t="s">
        <v>484</v>
      </c>
      <c r="B10" s="56" t="s">
        <v>164</v>
      </c>
      <c r="C10" s="49" t="s">
        <v>485</v>
      </c>
      <c r="D10" s="57" t="s">
        <v>233</v>
      </c>
      <c r="E10" s="49" t="s">
        <v>234</v>
      </c>
      <c r="F10" s="49" t="s">
        <v>296</v>
      </c>
      <c r="G10" s="49" t="s">
        <v>486</v>
      </c>
      <c r="H10" s="49" t="s">
        <v>487</v>
      </c>
      <c r="I10" s="58" t="s">
        <v>488</v>
      </c>
      <c r="J10" s="69">
        <v>1</v>
      </c>
      <c r="K10" s="70" t="str">
        <f>IF(J10="","",IF(J10="N/A","Not applicable",CHOOSE(J10+1,"Gap","Documented","Implemented","Evidenced","Automated")))</f>
        <v>Documented</v>
      </c>
      <c r="L10" s="57"/>
      <c r="M10" s="59"/>
      <c r="N10" s="49" t="s">
        <v>489</v>
      </c>
      <c r="O10" s="56" t="s">
        <v>281</v>
      </c>
      <c r="P10" s="49" t="s">
        <v>490</v>
      </c>
      <c r="Q10" s="49" t="s">
        <v>293</v>
      </c>
    </row>
    <row r="11" spans="1:17" ht="19.5" customHeight="1" x14ac:dyDescent="0.2">
      <c r="A11" s="52" t="s">
        <v>165</v>
      </c>
      <c r="B11" s="52"/>
      <c r="C11" s="53" t="s">
        <v>491</v>
      </c>
      <c r="D11" s="53"/>
      <c r="E11" s="53"/>
      <c r="F11" s="53"/>
      <c r="G11" s="53"/>
      <c r="H11" s="53"/>
      <c r="I11" s="53"/>
      <c r="J11" s="67">
        <f>IFERROR(ROUND(AVERAGE(J12:J17),1),"")</f>
        <v>0.5</v>
      </c>
      <c r="K11" s="68" t="str">
        <f>IF(COUNT(J12:J17)=0,IF(COUNTIF(J12:J17,"N/A")&gt;0,"all n/a","not scored"),COUNTIF(J12:J17,0)&amp;" gaps, "&amp;COUNTIFS(J12:J17,"&lt;3")&amp;" below 3")</f>
        <v>3 gaps, 6 below 3</v>
      </c>
      <c r="L11" s="53"/>
      <c r="M11" s="54"/>
      <c r="N11" s="53"/>
      <c r="O11" s="52" t="s">
        <v>492</v>
      </c>
      <c r="P11" s="53"/>
      <c r="Q11" s="53"/>
    </row>
    <row r="12" spans="1:17" ht="57.75" customHeight="1" outlineLevel="1" x14ac:dyDescent="0.2">
      <c r="A12" s="55" t="s">
        <v>77</v>
      </c>
      <c r="B12" s="56" t="s">
        <v>165</v>
      </c>
      <c r="C12" s="49" t="s">
        <v>78</v>
      </c>
      <c r="D12" s="57" t="s">
        <v>242</v>
      </c>
      <c r="E12" s="49" t="s">
        <v>493</v>
      </c>
      <c r="F12" s="49" t="s">
        <v>235</v>
      </c>
      <c r="G12" s="49" t="s">
        <v>494</v>
      </c>
      <c r="H12" s="49" t="s">
        <v>495</v>
      </c>
      <c r="I12" s="58" t="s">
        <v>496</v>
      </c>
      <c r="J12" s="69">
        <v>0</v>
      </c>
      <c r="K12" s="70" t="str">
        <f t="shared" ref="K12:K17" si="0">IF(J12="","",IF(J12="N/A","Not applicable",CHOOSE(J12+1,"Gap","Documented","Implemented","Evidenced","Automated")))</f>
        <v>Gap</v>
      </c>
      <c r="L12" s="57"/>
      <c r="M12" s="59"/>
      <c r="N12" s="49" t="s">
        <v>497</v>
      </c>
      <c r="O12" s="56" t="s">
        <v>281</v>
      </c>
      <c r="P12" s="49" t="s">
        <v>498</v>
      </c>
      <c r="Q12" s="49" t="s">
        <v>293</v>
      </c>
    </row>
    <row r="13" spans="1:17" ht="57.75" customHeight="1" outlineLevel="1" x14ac:dyDescent="0.2">
      <c r="A13" s="55" t="s">
        <v>499</v>
      </c>
      <c r="B13" s="56" t="s">
        <v>165</v>
      </c>
      <c r="C13" s="49" t="s">
        <v>500</v>
      </c>
      <c r="D13" s="57" t="s">
        <v>242</v>
      </c>
      <c r="E13" s="49" t="s">
        <v>243</v>
      </c>
      <c r="F13" s="49" t="s">
        <v>244</v>
      </c>
      <c r="G13" s="49" t="s">
        <v>501</v>
      </c>
      <c r="H13" s="49" t="s">
        <v>246</v>
      </c>
      <c r="I13" s="58" t="s">
        <v>502</v>
      </c>
      <c r="J13" s="69">
        <v>1</v>
      </c>
      <c r="K13" s="70" t="str">
        <f t="shared" si="0"/>
        <v>Documented</v>
      </c>
      <c r="L13" s="57"/>
      <c r="M13" s="59"/>
      <c r="N13" s="49" t="s">
        <v>248</v>
      </c>
      <c r="O13" s="56" t="s">
        <v>281</v>
      </c>
      <c r="P13" s="49" t="s">
        <v>503</v>
      </c>
      <c r="Q13" s="49" t="s">
        <v>293</v>
      </c>
    </row>
    <row r="14" spans="1:17" ht="57.75" customHeight="1" outlineLevel="1" x14ac:dyDescent="0.2">
      <c r="A14" s="55" t="s">
        <v>504</v>
      </c>
      <c r="B14" s="56" t="s">
        <v>165</v>
      </c>
      <c r="C14" s="49" t="s">
        <v>505</v>
      </c>
      <c r="D14" s="57" t="s">
        <v>242</v>
      </c>
      <c r="E14" s="49" t="s">
        <v>243</v>
      </c>
      <c r="F14" s="49" t="s">
        <v>244</v>
      </c>
      <c r="G14" s="49" t="s">
        <v>506</v>
      </c>
      <c r="H14" s="49" t="s">
        <v>507</v>
      </c>
      <c r="I14" s="58" t="s">
        <v>508</v>
      </c>
      <c r="J14" s="69">
        <v>1</v>
      </c>
      <c r="K14" s="70" t="str">
        <f t="shared" si="0"/>
        <v>Documented</v>
      </c>
      <c r="L14" s="57"/>
      <c r="M14" s="59"/>
      <c r="N14" s="49" t="s">
        <v>509</v>
      </c>
      <c r="O14" s="56" t="s">
        <v>281</v>
      </c>
      <c r="P14" s="49" t="s">
        <v>510</v>
      </c>
      <c r="Q14" s="49" t="s">
        <v>293</v>
      </c>
    </row>
    <row r="15" spans="1:17" ht="57.75" customHeight="1" outlineLevel="1" x14ac:dyDescent="0.2">
      <c r="A15" s="55" t="s">
        <v>511</v>
      </c>
      <c r="B15" s="56" t="s">
        <v>165</v>
      </c>
      <c r="C15" s="49" t="s">
        <v>512</v>
      </c>
      <c r="D15" s="57" t="s">
        <v>242</v>
      </c>
      <c r="E15" s="49" t="s">
        <v>258</v>
      </c>
      <c r="F15" s="49" t="s">
        <v>259</v>
      </c>
      <c r="G15" s="49" t="s">
        <v>513</v>
      </c>
      <c r="H15" s="49" t="s">
        <v>514</v>
      </c>
      <c r="I15" s="58" t="s">
        <v>515</v>
      </c>
      <c r="J15" s="69">
        <v>1</v>
      </c>
      <c r="K15" s="70" t="str">
        <f t="shared" si="0"/>
        <v>Documented</v>
      </c>
      <c r="L15" s="57"/>
      <c r="M15" s="59"/>
      <c r="N15" s="49" t="s">
        <v>516</v>
      </c>
      <c r="O15" s="56" t="s">
        <v>281</v>
      </c>
      <c r="P15" s="49" t="s">
        <v>517</v>
      </c>
      <c r="Q15" s="49" t="s">
        <v>293</v>
      </c>
    </row>
    <row r="16" spans="1:17" ht="57.75" customHeight="1" outlineLevel="1" x14ac:dyDescent="0.2">
      <c r="A16" s="55" t="s">
        <v>79</v>
      </c>
      <c r="B16" s="56" t="s">
        <v>165</v>
      </c>
      <c r="C16" s="49" t="s">
        <v>80</v>
      </c>
      <c r="D16" s="57" t="s">
        <v>242</v>
      </c>
      <c r="E16" s="49" t="s">
        <v>421</v>
      </c>
      <c r="F16" s="49" t="s">
        <v>296</v>
      </c>
      <c r="G16" s="49" t="s">
        <v>518</v>
      </c>
      <c r="H16" s="49" t="s">
        <v>519</v>
      </c>
      <c r="I16" s="58" t="s">
        <v>520</v>
      </c>
      <c r="J16" s="69">
        <v>0</v>
      </c>
      <c r="K16" s="70" t="str">
        <f t="shared" si="0"/>
        <v>Gap</v>
      </c>
      <c r="L16" s="57"/>
      <c r="M16" s="59"/>
      <c r="N16" s="49" t="s">
        <v>458</v>
      </c>
      <c r="O16" s="56" t="s">
        <v>34</v>
      </c>
      <c r="P16" s="49" t="s">
        <v>521</v>
      </c>
      <c r="Q16" s="49" t="s">
        <v>522</v>
      </c>
    </row>
    <row r="17" spans="1:17" ht="57.75" customHeight="1" outlineLevel="1" x14ac:dyDescent="0.2">
      <c r="A17" s="55" t="s">
        <v>81</v>
      </c>
      <c r="B17" s="56" t="s">
        <v>165</v>
      </c>
      <c r="C17" s="49" t="s">
        <v>82</v>
      </c>
      <c r="D17" s="57" t="s">
        <v>233</v>
      </c>
      <c r="E17" s="49" t="s">
        <v>258</v>
      </c>
      <c r="F17" s="49" t="s">
        <v>259</v>
      </c>
      <c r="G17" s="49" t="s">
        <v>523</v>
      </c>
      <c r="H17" s="49" t="s">
        <v>524</v>
      </c>
      <c r="I17" s="58" t="s">
        <v>525</v>
      </c>
      <c r="J17" s="69">
        <v>0</v>
      </c>
      <c r="K17" s="70" t="str">
        <f t="shared" si="0"/>
        <v>Gap</v>
      </c>
      <c r="L17" s="57"/>
      <c r="M17" s="59"/>
      <c r="N17" s="49" t="s">
        <v>526</v>
      </c>
      <c r="O17" s="56" t="s">
        <v>35</v>
      </c>
      <c r="P17" s="49" t="s">
        <v>527</v>
      </c>
      <c r="Q17" s="49" t="s">
        <v>528</v>
      </c>
    </row>
    <row r="18" spans="1:17" ht="19.5" customHeight="1" x14ac:dyDescent="0.2">
      <c r="A18" s="52" t="s">
        <v>166</v>
      </c>
      <c r="B18" s="52"/>
      <c r="C18" s="53" t="s">
        <v>529</v>
      </c>
      <c r="D18" s="53"/>
      <c r="E18" s="53"/>
      <c r="F18" s="53"/>
      <c r="G18" s="53"/>
      <c r="H18" s="53"/>
      <c r="I18" s="53"/>
      <c r="J18" s="67">
        <f>IFERROR(ROUND(AVERAGE(J19:J24),1),"")</f>
        <v>0.7</v>
      </c>
      <c r="K18" s="68" t="str">
        <f>IF(COUNT(J19:J24)=0,IF(COUNTIF(J19:J24,"N/A")&gt;0,"all n/a","not scored"),COUNTIF(J19:J24,0)&amp;" gaps, "&amp;COUNTIFS(J19:J24,"&lt;3")&amp;" below 3")</f>
        <v>2 gaps, 6 below 3</v>
      </c>
      <c r="L18" s="53"/>
      <c r="M18" s="54"/>
      <c r="N18" s="53"/>
      <c r="O18" s="52" t="s">
        <v>232</v>
      </c>
      <c r="P18" s="53"/>
      <c r="Q18" s="53"/>
    </row>
    <row r="19" spans="1:17" ht="57.75" customHeight="1" outlineLevel="1" x14ac:dyDescent="0.2">
      <c r="A19" s="55" t="s">
        <v>83</v>
      </c>
      <c r="B19" s="56" t="s">
        <v>166</v>
      </c>
      <c r="C19" s="49" t="s">
        <v>84</v>
      </c>
      <c r="D19" s="57" t="s">
        <v>233</v>
      </c>
      <c r="E19" s="49" t="s">
        <v>234</v>
      </c>
      <c r="F19" s="49" t="s">
        <v>530</v>
      </c>
      <c r="G19" s="49" t="s">
        <v>531</v>
      </c>
      <c r="H19" s="49" t="s">
        <v>532</v>
      </c>
      <c r="I19" s="58" t="s">
        <v>533</v>
      </c>
      <c r="J19" s="69">
        <v>0</v>
      </c>
      <c r="K19" s="70" t="str">
        <f t="shared" ref="K19:K24" si="1">IF(J19="","",IF(J19="N/A","Not applicable",CHOOSE(J19+1,"Gap","Documented","Implemented","Evidenced","Automated")))</f>
        <v>Gap</v>
      </c>
      <c r="L19" s="57"/>
      <c r="M19" s="59"/>
      <c r="N19" s="49" t="s">
        <v>534</v>
      </c>
      <c r="O19" s="56" t="s">
        <v>35</v>
      </c>
      <c r="P19" s="49" t="s">
        <v>535</v>
      </c>
      <c r="Q19" s="49" t="s">
        <v>536</v>
      </c>
    </row>
    <row r="20" spans="1:17" ht="57.75" customHeight="1" outlineLevel="1" x14ac:dyDescent="0.2">
      <c r="A20" s="55" t="s">
        <v>537</v>
      </c>
      <c r="B20" s="56" t="s">
        <v>166</v>
      </c>
      <c r="C20" s="49" t="s">
        <v>538</v>
      </c>
      <c r="D20" s="57" t="s">
        <v>242</v>
      </c>
      <c r="E20" s="49" t="s">
        <v>258</v>
      </c>
      <c r="F20" s="49" t="s">
        <v>539</v>
      </c>
      <c r="G20" s="49" t="s">
        <v>540</v>
      </c>
      <c r="H20" s="49" t="s">
        <v>541</v>
      </c>
      <c r="I20" s="58" t="s">
        <v>542</v>
      </c>
      <c r="J20" s="69">
        <v>1</v>
      </c>
      <c r="K20" s="70" t="str">
        <f t="shared" si="1"/>
        <v>Documented</v>
      </c>
      <c r="L20" s="57"/>
      <c r="M20" s="59"/>
      <c r="N20" s="49" t="s">
        <v>543</v>
      </c>
      <c r="O20" s="56" t="s">
        <v>34</v>
      </c>
      <c r="P20" s="49" t="s">
        <v>544</v>
      </c>
      <c r="Q20" s="49" t="s">
        <v>545</v>
      </c>
    </row>
    <row r="21" spans="1:17" ht="57.75" customHeight="1" outlineLevel="1" x14ac:dyDescent="0.2">
      <c r="A21" s="55" t="s">
        <v>546</v>
      </c>
      <c r="B21" s="56" t="s">
        <v>166</v>
      </c>
      <c r="C21" s="49" t="s">
        <v>547</v>
      </c>
      <c r="D21" s="57" t="s">
        <v>242</v>
      </c>
      <c r="E21" s="49" t="s">
        <v>493</v>
      </c>
      <c r="F21" s="49" t="s">
        <v>244</v>
      </c>
      <c r="G21" s="49" t="s">
        <v>548</v>
      </c>
      <c r="H21" s="49" t="s">
        <v>549</v>
      </c>
      <c r="I21" s="58" t="s">
        <v>550</v>
      </c>
      <c r="J21" s="69">
        <v>1</v>
      </c>
      <c r="K21" s="70" t="str">
        <f t="shared" si="1"/>
        <v>Documented</v>
      </c>
      <c r="L21" s="57"/>
      <c r="M21" s="59"/>
      <c r="N21" s="49" t="s">
        <v>551</v>
      </c>
      <c r="O21" s="56" t="s">
        <v>34</v>
      </c>
      <c r="P21" s="49" t="s">
        <v>552</v>
      </c>
      <c r="Q21" s="49" t="s">
        <v>553</v>
      </c>
    </row>
    <row r="22" spans="1:17" ht="57.75" customHeight="1" outlineLevel="1" x14ac:dyDescent="0.2">
      <c r="A22" s="55" t="s">
        <v>554</v>
      </c>
      <c r="B22" s="56" t="s">
        <v>166</v>
      </c>
      <c r="C22" s="49" t="s">
        <v>555</v>
      </c>
      <c r="D22" s="57" t="s">
        <v>233</v>
      </c>
      <c r="E22" s="49" t="s">
        <v>556</v>
      </c>
      <c r="F22" s="49" t="s">
        <v>557</v>
      </c>
      <c r="G22" s="49" t="s">
        <v>558</v>
      </c>
      <c r="H22" s="49" t="s">
        <v>559</v>
      </c>
      <c r="I22" s="58" t="s">
        <v>560</v>
      </c>
      <c r="J22" s="69">
        <v>1</v>
      </c>
      <c r="K22" s="70" t="str">
        <f t="shared" si="1"/>
        <v>Documented</v>
      </c>
      <c r="L22" s="57"/>
      <c r="M22" s="59"/>
      <c r="N22" s="49" t="s">
        <v>561</v>
      </c>
      <c r="O22" s="56" t="s">
        <v>281</v>
      </c>
      <c r="P22" s="49" t="s">
        <v>562</v>
      </c>
      <c r="Q22" s="49" t="s">
        <v>563</v>
      </c>
    </row>
    <row r="23" spans="1:17" ht="57.75" customHeight="1" outlineLevel="1" x14ac:dyDescent="0.2">
      <c r="A23" s="55" t="s">
        <v>85</v>
      </c>
      <c r="B23" s="56" t="s">
        <v>166</v>
      </c>
      <c r="C23" s="49" t="s">
        <v>86</v>
      </c>
      <c r="D23" s="57" t="s">
        <v>242</v>
      </c>
      <c r="E23" s="49" t="s">
        <v>564</v>
      </c>
      <c r="F23" s="49" t="s">
        <v>565</v>
      </c>
      <c r="G23" s="49" t="s">
        <v>566</v>
      </c>
      <c r="H23" s="49" t="s">
        <v>567</v>
      </c>
      <c r="I23" s="58" t="s">
        <v>568</v>
      </c>
      <c r="J23" s="69">
        <v>0</v>
      </c>
      <c r="K23" s="70" t="str">
        <f t="shared" si="1"/>
        <v>Gap</v>
      </c>
      <c r="L23" s="57"/>
      <c r="M23" s="59"/>
      <c r="N23" s="49" t="s">
        <v>569</v>
      </c>
      <c r="O23" s="56" t="s">
        <v>35</v>
      </c>
      <c r="P23" s="49" t="s">
        <v>570</v>
      </c>
      <c r="Q23" s="49" t="s">
        <v>571</v>
      </c>
    </row>
    <row r="24" spans="1:17" ht="57.75" customHeight="1" outlineLevel="1" x14ac:dyDescent="0.2">
      <c r="A24" s="55" t="s">
        <v>572</v>
      </c>
      <c r="B24" s="56" t="s">
        <v>166</v>
      </c>
      <c r="C24" s="49" t="s">
        <v>573</v>
      </c>
      <c r="D24" s="57" t="s">
        <v>242</v>
      </c>
      <c r="E24" s="49" t="s">
        <v>574</v>
      </c>
      <c r="F24" s="49" t="s">
        <v>244</v>
      </c>
      <c r="G24" s="49" t="s">
        <v>575</v>
      </c>
      <c r="H24" s="49" t="s">
        <v>576</v>
      </c>
      <c r="I24" s="58" t="s">
        <v>577</v>
      </c>
      <c r="J24" s="69">
        <v>1</v>
      </c>
      <c r="K24" s="70" t="str">
        <f t="shared" si="1"/>
        <v>Documented</v>
      </c>
      <c r="L24" s="57"/>
      <c r="M24" s="59"/>
      <c r="N24" s="49" t="s">
        <v>578</v>
      </c>
      <c r="O24" s="56" t="s">
        <v>34</v>
      </c>
      <c r="P24" s="49" t="s">
        <v>579</v>
      </c>
      <c r="Q24" s="49" t="s">
        <v>580</v>
      </c>
    </row>
    <row r="26" spans="1:17" ht="120" customHeight="1" x14ac:dyDescent="0.25">
      <c r="A26" s="63" t="s">
        <v>441</v>
      </c>
      <c r="C26" s="64" t="s">
        <v>442</v>
      </c>
    </row>
    <row r="27" spans="1:17" ht="140" customHeight="1" x14ac:dyDescent="0.25">
      <c r="A27" s="63" t="s">
        <v>443</v>
      </c>
      <c r="C27" s="64" t="s">
        <v>444</v>
      </c>
    </row>
    <row r="28" spans="1:17" ht="100" customHeight="1" x14ac:dyDescent="0.25">
      <c r="A28" s="63" t="s">
        <v>445</v>
      </c>
      <c r="C28" s="64" t="s">
        <v>446</v>
      </c>
    </row>
    <row r="30" spans="1:17" ht="180" customHeight="1" x14ac:dyDescent="0.25">
      <c r="A30" s="87" t="s">
        <v>447</v>
      </c>
      <c r="C30" s="88" t="s">
        <v>581</v>
      </c>
    </row>
  </sheetData>
  <conditionalFormatting sqref="J5:J24">
    <cfRule type="cellIs" dxfId="127" priority="1" operator="equal">
      <formula>0</formula>
    </cfRule>
    <cfRule type="cellIs" dxfId="126" priority="3" operator="equal">
      <formula>1</formula>
    </cfRule>
    <cfRule type="cellIs" dxfId="125" priority="5" operator="equal">
      <formula>2</formula>
    </cfRule>
    <cfRule type="cellIs" dxfId="124" priority="7" operator="equal">
      <formula>3</formula>
    </cfRule>
    <cfRule type="cellIs" dxfId="123" priority="9" operator="equal">
      <formula>4</formula>
    </cfRule>
    <cfRule type="cellIs" dxfId="122" priority="11" operator="equal">
      <formula>"N/A"</formula>
    </cfRule>
  </conditionalFormatting>
  <conditionalFormatting sqref="K5:K24">
    <cfRule type="expression" dxfId="121" priority="2">
      <formula>$J5=0</formula>
    </cfRule>
    <cfRule type="expression" dxfId="120" priority="4">
      <formula>$J5=1</formula>
    </cfRule>
    <cfRule type="expression" dxfId="119" priority="6">
      <formula>$J5=2</formula>
    </cfRule>
    <cfRule type="expression" dxfId="118" priority="8">
      <formula>$J5=3</formula>
    </cfRule>
    <cfRule type="expression" dxfId="117" priority="10">
      <formula>$J5=4</formula>
    </cfRule>
    <cfRule type="expression" dxfId="116" priority="12">
      <formula>$J5="N/A"</formula>
    </cfRule>
  </conditionalFormatting>
  <conditionalFormatting sqref="L5:L24">
    <cfRule type="expression" dxfId="115" priority="13">
      <formula>AND($J5="N/A",$L5="")</formula>
    </cfRule>
  </conditionalFormatting>
  <conditionalFormatting sqref="O5:O24">
    <cfRule type="cellIs" dxfId="114" priority="14" operator="equal">
      <formula>"Yes"</formula>
    </cfRule>
    <cfRule type="cellIs" dxfId="113" priority="15" operator="equal">
      <formula>"Partial"</formula>
    </cfRule>
    <cfRule type="cellIs" dxfId="112" priority="16" operator="equal">
      <formula>"No"</formula>
    </cfRule>
  </conditionalFormatting>
  <dataValidations count="2">
    <dataValidation type="list" allowBlank="1" showErrorMessage="1" errorTitle="Score out of range" error="Score each control 0 to 4, or N/A. See the scale on the Read Me tab." sqref="J5:J24" xr:uid="{00000000-0002-0000-0300-000000000000}">
      <formula1>"0,1,2,3,4,N/A"</formula1>
    </dataValidation>
    <dataValidation type="list" allowBlank="1" sqref="O5:O24" xr:uid="{00000000-0002-0000-0300-000001000000}">
      <formula1>"Yes,Partial,No"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Q34"/>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582</v>
      </c>
    </row>
    <row r="2" spans="1:17" ht="19" x14ac:dyDescent="0.25">
      <c r="A2" s="46" t="s">
        <v>583</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168</v>
      </c>
      <c r="B5" s="52"/>
      <c r="C5" s="53" t="s">
        <v>586</v>
      </c>
      <c r="D5" s="53"/>
      <c r="E5" s="53"/>
      <c r="F5" s="53"/>
      <c r="G5" s="53"/>
      <c r="H5" s="53"/>
      <c r="I5" s="53"/>
      <c r="J5" s="67">
        <f>IFERROR(ROUND(AVERAGE(J6:J10),1),"")</f>
        <v>0.6</v>
      </c>
      <c r="K5" s="68" t="str">
        <f>IF(COUNT(J6:J10)=0,IF(COUNTIF(J6:J10,"N/A")&gt;0,"all n/a","not scored"),COUNTIF(J6:J10,0)&amp;" gaps, "&amp;COUNTIFS(J6:J10,"&lt;3")&amp;" below 3")</f>
        <v>2 gaps, 5 below 3</v>
      </c>
      <c r="L5" s="53"/>
      <c r="M5" s="54"/>
      <c r="N5" s="53"/>
      <c r="O5" s="52" t="s">
        <v>336</v>
      </c>
      <c r="P5" s="53"/>
      <c r="Q5" s="53"/>
    </row>
    <row r="6" spans="1:17" ht="57.75" customHeight="1" outlineLevel="1" x14ac:dyDescent="0.2">
      <c r="A6" s="55" t="s">
        <v>587</v>
      </c>
      <c r="B6" s="56" t="s">
        <v>168</v>
      </c>
      <c r="C6" s="49" t="s">
        <v>588</v>
      </c>
      <c r="D6" s="57" t="s">
        <v>233</v>
      </c>
      <c r="E6" s="49" t="s">
        <v>234</v>
      </c>
      <c r="F6" s="49" t="s">
        <v>296</v>
      </c>
      <c r="G6" s="49" t="s">
        <v>589</v>
      </c>
      <c r="H6" s="49" t="s">
        <v>590</v>
      </c>
      <c r="I6" s="58" t="s">
        <v>591</v>
      </c>
      <c r="J6" s="69">
        <v>1</v>
      </c>
      <c r="K6" s="70" t="str">
        <f>IF(J6="","",IF(J6="N/A","Not applicable",CHOOSE(J6+1,"Gap","Documented","Implemented","Evidenced","Automated")))</f>
        <v>Documented</v>
      </c>
      <c r="L6" s="57"/>
      <c r="M6" s="59"/>
      <c r="N6" s="49" t="s">
        <v>592</v>
      </c>
      <c r="O6" s="56" t="s">
        <v>281</v>
      </c>
      <c r="P6" s="49" t="s">
        <v>593</v>
      </c>
      <c r="Q6" s="49" t="s">
        <v>594</v>
      </c>
    </row>
    <row r="7" spans="1:17" ht="57.75" customHeight="1" outlineLevel="1" x14ac:dyDescent="0.2">
      <c r="A7" s="55" t="s">
        <v>595</v>
      </c>
      <c r="B7" s="56" t="s">
        <v>168</v>
      </c>
      <c r="C7" s="49" t="s">
        <v>596</v>
      </c>
      <c r="D7" s="57" t="s">
        <v>242</v>
      </c>
      <c r="E7" s="49" t="s">
        <v>234</v>
      </c>
      <c r="F7" s="49" t="s">
        <v>287</v>
      </c>
      <c r="G7" s="49" t="s">
        <v>597</v>
      </c>
      <c r="H7" s="49" t="s">
        <v>598</v>
      </c>
      <c r="I7" s="58" t="s">
        <v>599</v>
      </c>
      <c r="J7" s="69">
        <v>1</v>
      </c>
      <c r="K7" s="70" t="str">
        <f>IF(J7="","",IF(J7="N/A","Not applicable",CHOOSE(J7+1,"Gap","Documented","Implemented","Evidenced","Automated")))</f>
        <v>Documented</v>
      </c>
      <c r="L7" s="57"/>
      <c r="M7" s="59"/>
      <c r="N7" s="49" t="s">
        <v>600</v>
      </c>
      <c r="O7" s="56" t="s">
        <v>34</v>
      </c>
      <c r="P7" s="49" t="s">
        <v>601</v>
      </c>
      <c r="Q7" s="49" t="s">
        <v>602</v>
      </c>
    </row>
    <row r="8" spans="1:17" ht="57.75" customHeight="1" outlineLevel="1" x14ac:dyDescent="0.2">
      <c r="A8" s="55" t="s">
        <v>87</v>
      </c>
      <c r="B8" s="56" t="s">
        <v>168</v>
      </c>
      <c r="C8" s="49" t="s">
        <v>88</v>
      </c>
      <c r="D8" s="57" t="s">
        <v>233</v>
      </c>
      <c r="E8" s="49" t="s">
        <v>234</v>
      </c>
      <c r="F8" s="49" t="s">
        <v>603</v>
      </c>
      <c r="G8" s="49" t="s">
        <v>604</v>
      </c>
      <c r="H8" s="49" t="s">
        <v>605</v>
      </c>
      <c r="I8" s="58" t="s">
        <v>606</v>
      </c>
      <c r="J8" s="69">
        <v>0</v>
      </c>
      <c r="K8" s="70" t="str">
        <f>IF(J8="","",IF(J8="N/A","Not applicable",CHOOSE(J8+1,"Gap","Documented","Implemented","Evidenced","Automated")))</f>
        <v>Gap</v>
      </c>
      <c r="L8" s="57"/>
      <c r="M8" s="59"/>
      <c r="N8" s="49" t="s">
        <v>607</v>
      </c>
      <c r="O8" s="56" t="s">
        <v>35</v>
      </c>
      <c r="P8" s="49" t="s">
        <v>608</v>
      </c>
      <c r="Q8" s="49" t="s">
        <v>609</v>
      </c>
    </row>
    <row r="9" spans="1:17" ht="57.75" customHeight="1" outlineLevel="1" x14ac:dyDescent="0.2">
      <c r="A9" s="55" t="s">
        <v>610</v>
      </c>
      <c r="B9" s="56" t="s">
        <v>168</v>
      </c>
      <c r="C9" s="49" t="s">
        <v>611</v>
      </c>
      <c r="D9" s="57" t="s">
        <v>233</v>
      </c>
      <c r="E9" s="49" t="s">
        <v>234</v>
      </c>
      <c r="F9" s="49" t="s">
        <v>287</v>
      </c>
      <c r="G9" s="49" t="s">
        <v>612</v>
      </c>
      <c r="H9" s="49" t="s">
        <v>613</v>
      </c>
      <c r="I9" s="58" t="s">
        <v>614</v>
      </c>
      <c r="J9" s="69">
        <v>1</v>
      </c>
      <c r="K9" s="70" t="str">
        <f>IF(J9="","",IF(J9="N/A","Not applicable",CHOOSE(J9+1,"Gap","Documented","Implemented","Evidenced","Automated")))</f>
        <v>Documented</v>
      </c>
      <c r="L9" s="57"/>
      <c r="M9" s="59"/>
      <c r="N9" s="49" t="s">
        <v>615</v>
      </c>
      <c r="O9" s="56" t="s">
        <v>281</v>
      </c>
      <c r="P9" s="49" t="s">
        <v>616</v>
      </c>
      <c r="Q9" s="49" t="s">
        <v>617</v>
      </c>
    </row>
    <row r="10" spans="1:17" ht="57.75" customHeight="1" outlineLevel="1" x14ac:dyDescent="0.2">
      <c r="A10" s="55" t="s">
        <v>89</v>
      </c>
      <c r="B10" s="56" t="s">
        <v>168</v>
      </c>
      <c r="C10" s="49" t="s">
        <v>90</v>
      </c>
      <c r="D10" s="57" t="s">
        <v>242</v>
      </c>
      <c r="E10" s="49" t="s">
        <v>234</v>
      </c>
      <c r="F10" s="49" t="s">
        <v>244</v>
      </c>
      <c r="G10" s="49" t="s">
        <v>618</v>
      </c>
      <c r="H10" s="49" t="s">
        <v>619</v>
      </c>
      <c r="I10" s="58" t="s">
        <v>620</v>
      </c>
      <c r="J10" s="69">
        <v>0</v>
      </c>
      <c r="K10" s="70" t="str">
        <f>IF(J10="","",IF(J10="N/A","Not applicable",CHOOSE(J10+1,"Gap","Documented","Implemented","Evidenced","Automated")))</f>
        <v>Gap</v>
      </c>
      <c r="L10" s="57"/>
      <c r="M10" s="59"/>
      <c r="N10" s="49" t="s">
        <v>621</v>
      </c>
      <c r="O10" s="56" t="s">
        <v>35</v>
      </c>
      <c r="P10" s="49" t="s">
        <v>622</v>
      </c>
      <c r="Q10" s="49" t="s">
        <v>623</v>
      </c>
    </row>
    <row r="11" spans="1:17" ht="19.5" customHeight="1" x14ac:dyDescent="0.2">
      <c r="A11" s="52" t="s">
        <v>169</v>
      </c>
      <c r="B11" s="52"/>
      <c r="C11" s="53" t="s">
        <v>624</v>
      </c>
      <c r="D11" s="53"/>
      <c r="E11" s="53"/>
      <c r="F11" s="53"/>
      <c r="G11" s="53"/>
      <c r="H11" s="53"/>
      <c r="I11" s="53"/>
      <c r="J11" s="67">
        <f>IFERROR(ROUND(AVERAGE(J12:J18),1),"")</f>
        <v>1</v>
      </c>
      <c r="K11" s="68" t="str">
        <f>IF(COUNT(J12:J18)=0,IF(COUNTIF(J12:J18,"N/A")&gt;0,"all n/a","not scored"),COUNTIF(J12:J18,0)&amp;" gaps, "&amp;COUNTIFS(J12:J18,"&lt;3")&amp;" below 3")</f>
        <v>0 gaps, 7 below 3</v>
      </c>
      <c r="L11" s="53"/>
      <c r="M11" s="54"/>
      <c r="N11" s="53"/>
      <c r="O11" s="52" t="s">
        <v>625</v>
      </c>
      <c r="P11" s="53"/>
      <c r="Q11" s="53"/>
    </row>
    <row r="12" spans="1:17" ht="57.75" customHeight="1" outlineLevel="1" x14ac:dyDescent="0.2">
      <c r="A12" s="55" t="s">
        <v>626</v>
      </c>
      <c r="B12" s="56" t="s">
        <v>169</v>
      </c>
      <c r="C12" s="49" t="s">
        <v>627</v>
      </c>
      <c r="D12" s="57" t="s">
        <v>242</v>
      </c>
      <c r="E12" s="49" t="s">
        <v>628</v>
      </c>
      <c r="F12" s="49" t="s">
        <v>287</v>
      </c>
      <c r="G12" s="49" t="s">
        <v>629</v>
      </c>
      <c r="H12" s="49" t="s">
        <v>630</v>
      </c>
      <c r="I12" s="58" t="s">
        <v>631</v>
      </c>
      <c r="J12" s="69">
        <v>1</v>
      </c>
      <c r="K12" s="70" t="str">
        <f t="shared" ref="K12:K18" si="0">IF(J12="","",IF(J12="N/A","Not applicable",CHOOSE(J12+1,"Gap","Documented","Implemented","Evidenced","Automated")))</f>
        <v>Documented</v>
      </c>
      <c r="L12" s="57"/>
      <c r="M12" s="59"/>
      <c r="N12" s="49" t="s">
        <v>632</v>
      </c>
      <c r="O12" s="56" t="s">
        <v>281</v>
      </c>
      <c r="P12" s="49" t="s">
        <v>633</v>
      </c>
      <c r="Q12" s="49" t="s">
        <v>634</v>
      </c>
    </row>
    <row r="13" spans="1:17" ht="57.75" customHeight="1" outlineLevel="1" x14ac:dyDescent="0.2">
      <c r="A13" s="55" t="s">
        <v>635</v>
      </c>
      <c r="B13" s="56" t="s">
        <v>169</v>
      </c>
      <c r="C13" s="49" t="s">
        <v>636</v>
      </c>
      <c r="D13" s="57" t="s">
        <v>242</v>
      </c>
      <c r="E13" s="49" t="s">
        <v>637</v>
      </c>
      <c r="F13" s="49" t="s">
        <v>296</v>
      </c>
      <c r="G13" s="49" t="s">
        <v>638</v>
      </c>
      <c r="H13" s="49" t="s">
        <v>639</v>
      </c>
      <c r="I13" s="58" t="s">
        <v>640</v>
      </c>
      <c r="J13" s="69">
        <v>1</v>
      </c>
      <c r="K13" s="70" t="str">
        <f t="shared" si="0"/>
        <v>Documented</v>
      </c>
      <c r="L13" s="57"/>
      <c r="M13" s="59"/>
      <c r="N13" s="49" t="s">
        <v>641</v>
      </c>
      <c r="O13" s="56" t="s">
        <v>281</v>
      </c>
      <c r="P13" s="49" t="s">
        <v>642</v>
      </c>
      <c r="Q13" s="49" t="s">
        <v>643</v>
      </c>
    </row>
    <row r="14" spans="1:17" ht="57.75" customHeight="1" outlineLevel="1" x14ac:dyDescent="0.2">
      <c r="A14" s="55" t="s">
        <v>644</v>
      </c>
      <c r="B14" s="56" t="s">
        <v>169</v>
      </c>
      <c r="C14" s="49" t="s">
        <v>645</v>
      </c>
      <c r="D14" s="57" t="s">
        <v>242</v>
      </c>
      <c r="E14" s="49" t="s">
        <v>646</v>
      </c>
      <c r="F14" s="49" t="s">
        <v>244</v>
      </c>
      <c r="G14" s="49" t="s">
        <v>647</v>
      </c>
      <c r="H14" s="49" t="s">
        <v>648</v>
      </c>
      <c r="I14" s="58" t="s">
        <v>649</v>
      </c>
      <c r="J14" s="69">
        <v>1</v>
      </c>
      <c r="K14" s="70" t="str">
        <f t="shared" si="0"/>
        <v>Documented</v>
      </c>
      <c r="L14" s="57"/>
      <c r="M14" s="59"/>
      <c r="N14" s="49" t="s">
        <v>650</v>
      </c>
      <c r="O14" s="56" t="s">
        <v>281</v>
      </c>
      <c r="P14" s="49" t="s">
        <v>651</v>
      </c>
      <c r="Q14" s="49" t="s">
        <v>652</v>
      </c>
    </row>
    <row r="15" spans="1:17" ht="57.75" customHeight="1" outlineLevel="1" x14ac:dyDescent="0.2">
      <c r="A15" s="55" t="s">
        <v>653</v>
      </c>
      <c r="B15" s="56" t="s">
        <v>169</v>
      </c>
      <c r="C15" s="49" t="s">
        <v>654</v>
      </c>
      <c r="D15" s="57" t="s">
        <v>242</v>
      </c>
      <c r="E15" s="49" t="s">
        <v>637</v>
      </c>
      <c r="F15" s="49" t="s">
        <v>244</v>
      </c>
      <c r="G15" s="49" t="s">
        <v>655</v>
      </c>
      <c r="H15" s="49" t="s">
        <v>656</v>
      </c>
      <c r="I15" s="58" t="s">
        <v>657</v>
      </c>
      <c r="J15" s="69">
        <v>1</v>
      </c>
      <c r="K15" s="70" t="str">
        <f t="shared" si="0"/>
        <v>Documented</v>
      </c>
      <c r="L15" s="57"/>
      <c r="M15" s="59"/>
      <c r="N15" s="49" t="s">
        <v>658</v>
      </c>
      <c r="O15" s="56" t="s">
        <v>281</v>
      </c>
      <c r="P15" s="49" t="s">
        <v>659</v>
      </c>
      <c r="Q15" s="49" t="s">
        <v>660</v>
      </c>
    </row>
    <row r="16" spans="1:17" ht="57.75" customHeight="1" outlineLevel="1" x14ac:dyDescent="0.2">
      <c r="A16" s="55" t="s">
        <v>661</v>
      </c>
      <c r="B16" s="56" t="s">
        <v>169</v>
      </c>
      <c r="C16" s="49" t="s">
        <v>662</v>
      </c>
      <c r="D16" s="57" t="s">
        <v>242</v>
      </c>
      <c r="E16" s="49" t="s">
        <v>421</v>
      </c>
      <c r="F16" s="49" t="s">
        <v>244</v>
      </c>
      <c r="G16" s="49" t="s">
        <v>663</v>
      </c>
      <c r="H16" s="49" t="s">
        <v>664</v>
      </c>
      <c r="I16" s="58" t="s">
        <v>665</v>
      </c>
      <c r="J16" s="69">
        <v>1</v>
      </c>
      <c r="K16" s="70" t="str">
        <f t="shared" si="0"/>
        <v>Documented</v>
      </c>
      <c r="L16" s="57"/>
      <c r="M16" s="59"/>
      <c r="N16" s="49" t="s">
        <v>666</v>
      </c>
      <c r="O16" s="56" t="s">
        <v>281</v>
      </c>
      <c r="P16" s="49" t="s">
        <v>667</v>
      </c>
      <c r="Q16" s="49" t="s">
        <v>668</v>
      </c>
    </row>
    <row r="17" spans="1:17" ht="57.75" customHeight="1" outlineLevel="1" x14ac:dyDescent="0.2">
      <c r="A17" s="55" t="s">
        <v>669</v>
      </c>
      <c r="B17" s="56" t="s">
        <v>169</v>
      </c>
      <c r="C17" s="49" t="s">
        <v>670</v>
      </c>
      <c r="D17" s="57" t="s">
        <v>233</v>
      </c>
      <c r="E17" s="49" t="s">
        <v>266</v>
      </c>
      <c r="F17" s="49" t="s">
        <v>296</v>
      </c>
      <c r="G17" s="49" t="s">
        <v>671</v>
      </c>
      <c r="H17" s="49" t="s">
        <v>672</v>
      </c>
      <c r="I17" s="58" t="s">
        <v>673</v>
      </c>
      <c r="J17" s="69">
        <v>1</v>
      </c>
      <c r="K17" s="70" t="str">
        <f t="shared" si="0"/>
        <v>Documented</v>
      </c>
      <c r="L17" s="57"/>
      <c r="M17" s="59"/>
      <c r="N17" s="49" t="s">
        <v>674</v>
      </c>
      <c r="O17" s="56" t="s">
        <v>281</v>
      </c>
      <c r="P17" s="49" t="s">
        <v>675</v>
      </c>
      <c r="Q17" s="49" t="s">
        <v>676</v>
      </c>
    </row>
    <row r="18" spans="1:17" ht="57.75" customHeight="1" outlineLevel="1" x14ac:dyDescent="0.2">
      <c r="A18" s="55" t="s">
        <v>677</v>
      </c>
      <c r="B18" s="56" t="s">
        <v>169</v>
      </c>
      <c r="C18" s="49" t="s">
        <v>678</v>
      </c>
      <c r="D18" s="57" t="s">
        <v>242</v>
      </c>
      <c r="E18" s="49" t="s">
        <v>574</v>
      </c>
      <c r="F18" s="49" t="s">
        <v>244</v>
      </c>
      <c r="G18" s="49" t="s">
        <v>679</v>
      </c>
      <c r="H18" s="49" t="s">
        <v>680</v>
      </c>
      <c r="I18" s="58" t="s">
        <v>681</v>
      </c>
      <c r="J18" s="69">
        <v>1</v>
      </c>
      <c r="K18" s="70" t="str">
        <f t="shared" si="0"/>
        <v>Documented</v>
      </c>
      <c r="L18" s="57"/>
      <c r="M18" s="59"/>
      <c r="N18" s="49" t="s">
        <v>682</v>
      </c>
      <c r="O18" s="56" t="s">
        <v>281</v>
      </c>
      <c r="P18" s="49" t="s">
        <v>683</v>
      </c>
      <c r="Q18" s="49" t="s">
        <v>684</v>
      </c>
    </row>
    <row r="19" spans="1:17" ht="19.5" customHeight="1" x14ac:dyDescent="0.2">
      <c r="A19" s="52" t="s">
        <v>170</v>
      </c>
      <c r="B19" s="52"/>
      <c r="C19" s="53" t="s">
        <v>685</v>
      </c>
      <c r="D19" s="53"/>
      <c r="E19" s="53"/>
      <c r="F19" s="53"/>
      <c r="G19" s="53"/>
      <c r="H19" s="53"/>
      <c r="I19" s="53"/>
      <c r="J19" s="67">
        <f>IFERROR(ROUND(AVERAGE(J20:J23),1),"")</f>
        <v>1</v>
      </c>
      <c r="K19" s="68" t="str">
        <f>IF(COUNT(J20:J23)=0,IF(COUNTIF(J20:J23,"N/A")&gt;0,"all n/a","not scored"),COUNTIF(J20:J23,0)&amp;" gaps, "&amp;COUNTIFS(J20:J23,"&lt;3")&amp;" below 3")</f>
        <v>0 gaps, 4 below 3</v>
      </c>
      <c r="L19" s="53"/>
      <c r="M19" s="54"/>
      <c r="N19" s="53"/>
      <c r="O19" s="52" t="s">
        <v>686</v>
      </c>
      <c r="P19" s="53"/>
      <c r="Q19" s="53"/>
    </row>
    <row r="20" spans="1:17" ht="57.75" customHeight="1" outlineLevel="1" x14ac:dyDescent="0.2">
      <c r="A20" s="55" t="s">
        <v>687</v>
      </c>
      <c r="B20" s="56" t="s">
        <v>170</v>
      </c>
      <c r="C20" s="49" t="s">
        <v>688</v>
      </c>
      <c r="D20" s="57" t="s">
        <v>233</v>
      </c>
      <c r="E20" s="49" t="s">
        <v>234</v>
      </c>
      <c r="F20" s="49" t="s">
        <v>312</v>
      </c>
      <c r="G20" s="49" t="s">
        <v>689</v>
      </c>
      <c r="H20" s="49" t="s">
        <v>690</v>
      </c>
      <c r="I20" s="58" t="s">
        <v>691</v>
      </c>
      <c r="J20" s="69">
        <v>1</v>
      </c>
      <c r="K20" s="70" t="str">
        <f>IF(J20="","",IF(J20="N/A","Not applicable",CHOOSE(J20+1,"Gap","Documented","Implemented","Evidenced","Automated")))</f>
        <v>Documented</v>
      </c>
      <c r="L20" s="57"/>
      <c r="M20" s="59"/>
      <c r="N20" s="49" t="s">
        <v>692</v>
      </c>
      <c r="O20" s="56" t="s">
        <v>281</v>
      </c>
      <c r="P20" s="49" t="s">
        <v>693</v>
      </c>
      <c r="Q20" s="49" t="s">
        <v>694</v>
      </c>
    </row>
    <row r="21" spans="1:17" ht="57.75" customHeight="1" outlineLevel="1" x14ac:dyDescent="0.2">
      <c r="A21" s="55" t="s">
        <v>695</v>
      </c>
      <c r="B21" s="56" t="s">
        <v>170</v>
      </c>
      <c r="C21" s="49" t="s">
        <v>696</v>
      </c>
      <c r="D21" s="57" t="s">
        <v>242</v>
      </c>
      <c r="E21" s="49" t="s">
        <v>234</v>
      </c>
      <c r="F21" s="49" t="s">
        <v>244</v>
      </c>
      <c r="G21" s="49" t="s">
        <v>697</v>
      </c>
      <c r="H21" s="49" t="s">
        <v>698</v>
      </c>
      <c r="I21" s="58" t="s">
        <v>699</v>
      </c>
      <c r="J21" s="69">
        <v>1</v>
      </c>
      <c r="K21" s="70" t="str">
        <f>IF(J21="","",IF(J21="N/A","Not applicable",CHOOSE(J21+1,"Gap","Documented","Implemented","Evidenced","Automated")))</f>
        <v>Documented</v>
      </c>
      <c r="L21" s="57"/>
      <c r="M21" s="59"/>
      <c r="N21" s="49" t="s">
        <v>700</v>
      </c>
      <c r="O21" s="56" t="s">
        <v>281</v>
      </c>
      <c r="P21" s="49" t="s">
        <v>701</v>
      </c>
      <c r="Q21" s="49" t="s">
        <v>702</v>
      </c>
    </row>
    <row r="22" spans="1:17" ht="57.75" customHeight="1" outlineLevel="1" x14ac:dyDescent="0.2">
      <c r="A22" s="55" t="s">
        <v>703</v>
      </c>
      <c r="B22" s="56" t="s">
        <v>170</v>
      </c>
      <c r="C22" s="49" t="s">
        <v>704</v>
      </c>
      <c r="D22" s="57" t="s">
        <v>233</v>
      </c>
      <c r="E22" s="49" t="s">
        <v>234</v>
      </c>
      <c r="F22" s="49" t="s">
        <v>312</v>
      </c>
      <c r="G22" s="49" t="s">
        <v>705</v>
      </c>
      <c r="H22" s="49" t="s">
        <v>706</v>
      </c>
      <c r="I22" s="58" t="s">
        <v>707</v>
      </c>
      <c r="J22" s="69">
        <v>1</v>
      </c>
      <c r="K22" s="70" t="str">
        <f>IF(J22="","",IF(J22="N/A","Not applicable",CHOOSE(J22+1,"Gap","Documented","Implemented","Evidenced","Automated")))</f>
        <v>Documented</v>
      </c>
      <c r="L22" s="57"/>
      <c r="M22" s="59"/>
      <c r="N22" s="49" t="s">
        <v>708</v>
      </c>
      <c r="O22" s="56" t="s">
        <v>281</v>
      </c>
      <c r="P22" s="49" t="s">
        <v>709</v>
      </c>
      <c r="Q22" s="49" t="s">
        <v>710</v>
      </c>
    </row>
    <row r="23" spans="1:17" ht="57.75" customHeight="1" outlineLevel="1" x14ac:dyDescent="0.2">
      <c r="A23" s="55" t="s">
        <v>711</v>
      </c>
      <c r="B23" s="56" t="s">
        <v>170</v>
      </c>
      <c r="C23" s="49" t="s">
        <v>712</v>
      </c>
      <c r="D23" s="57" t="s">
        <v>233</v>
      </c>
      <c r="E23" s="49" t="s">
        <v>713</v>
      </c>
      <c r="F23" s="49" t="s">
        <v>267</v>
      </c>
      <c r="G23" s="49" t="s">
        <v>714</v>
      </c>
      <c r="H23" s="49" t="s">
        <v>715</v>
      </c>
      <c r="I23" s="58" t="s">
        <v>716</v>
      </c>
      <c r="J23" s="69">
        <v>1</v>
      </c>
      <c r="K23" s="70" t="str">
        <f>IF(J23="","",IF(J23="N/A","Not applicable",CHOOSE(J23+1,"Gap","Documented","Implemented","Evidenced","Automated")))</f>
        <v>Documented</v>
      </c>
      <c r="L23" s="57"/>
      <c r="M23" s="59"/>
      <c r="N23" s="49" t="s">
        <v>717</v>
      </c>
      <c r="O23" s="56" t="s">
        <v>34</v>
      </c>
      <c r="P23" s="49" t="s">
        <v>718</v>
      </c>
      <c r="Q23" s="49" t="s">
        <v>719</v>
      </c>
    </row>
    <row r="24" spans="1:17" ht="19.5" customHeight="1" x14ac:dyDescent="0.2">
      <c r="A24" s="52" t="s">
        <v>171</v>
      </c>
      <c r="B24" s="52"/>
      <c r="C24" s="53" t="s">
        <v>720</v>
      </c>
      <c r="D24" s="53"/>
      <c r="E24" s="53"/>
      <c r="F24" s="53"/>
      <c r="G24" s="53"/>
      <c r="H24" s="53"/>
      <c r="I24" s="53"/>
      <c r="J24" s="67">
        <f>IFERROR(ROUND(AVERAGE(J25:J28),1),"")</f>
        <v>1</v>
      </c>
      <c r="K24" s="68" t="str">
        <f>IF(COUNT(J25:J28)=0,IF(COUNTIF(J25:J28,"N/A")&gt;0,"all n/a","not scored"),COUNTIF(J25:J28,0)&amp;" gaps, "&amp;COUNTIFS(J25:J28,"&lt;3")&amp;" below 3")</f>
        <v>0 gaps, 4 below 3</v>
      </c>
      <c r="L24" s="53"/>
      <c r="M24" s="54"/>
      <c r="N24" s="53"/>
      <c r="O24" s="52" t="s">
        <v>721</v>
      </c>
      <c r="P24" s="53"/>
      <c r="Q24" s="53"/>
    </row>
    <row r="25" spans="1:17" ht="57.75" customHeight="1" outlineLevel="1" x14ac:dyDescent="0.2">
      <c r="A25" s="55" t="s">
        <v>722</v>
      </c>
      <c r="B25" s="56" t="s">
        <v>171</v>
      </c>
      <c r="C25" s="49" t="s">
        <v>723</v>
      </c>
      <c r="D25" s="57" t="s">
        <v>242</v>
      </c>
      <c r="E25" s="49" t="s">
        <v>724</v>
      </c>
      <c r="F25" s="49" t="s">
        <v>287</v>
      </c>
      <c r="G25" s="49" t="s">
        <v>725</v>
      </c>
      <c r="H25" s="49" t="s">
        <v>726</v>
      </c>
      <c r="I25" s="58" t="s">
        <v>727</v>
      </c>
      <c r="J25" s="69">
        <v>1</v>
      </c>
      <c r="K25" s="70" t="str">
        <f>IF(J25="","",IF(J25="N/A","Not applicable",CHOOSE(J25+1,"Gap","Documented","Implemented","Evidenced","Automated")))</f>
        <v>Documented</v>
      </c>
      <c r="L25" s="57"/>
      <c r="M25" s="59"/>
      <c r="N25" s="49" t="s">
        <v>728</v>
      </c>
      <c r="O25" s="56" t="s">
        <v>281</v>
      </c>
      <c r="P25" s="49" t="s">
        <v>729</v>
      </c>
      <c r="Q25" s="49" t="s">
        <v>730</v>
      </c>
    </row>
    <row r="26" spans="1:17" ht="57.75" customHeight="1" outlineLevel="1" x14ac:dyDescent="0.2">
      <c r="A26" s="55" t="s">
        <v>731</v>
      </c>
      <c r="B26" s="56" t="s">
        <v>171</v>
      </c>
      <c r="C26" s="49" t="s">
        <v>732</v>
      </c>
      <c r="D26" s="57" t="s">
        <v>242</v>
      </c>
      <c r="E26" s="49" t="s">
        <v>733</v>
      </c>
      <c r="F26" s="49" t="s">
        <v>267</v>
      </c>
      <c r="G26" s="49" t="s">
        <v>734</v>
      </c>
      <c r="H26" s="49" t="s">
        <v>735</v>
      </c>
      <c r="I26" s="58" t="s">
        <v>736</v>
      </c>
      <c r="J26" s="69">
        <v>1</v>
      </c>
      <c r="K26" s="70" t="str">
        <f>IF(J26="","",IF(J26="N/A","Not applicable",CHOOSE(J26+1,"Gap","Documented","Implemented","Evidenced","Automated")))</f>
        <v>Documented</v>
      </c>
      <c r="L26" s="57"/>
      <c r="M26" s="59"/>
      <c r="N26" s="49" t="s">
        <v>737</v>
      </c>
      <c r="O26" s="56" t="s">
        <v>281</v>
      </c>
      <c r="P26" s="49" t="s">
        <v>738</v>
      </c>
      <c r="Q26" s="49" t="s">
        <v>739</v>
      </c>
    </row>
    <row r="27" spans="1:17" ht="57.75" customHeight="1" outlineLevel="1" x14ac:dyDescent="0.2">
      <c r="A27" s="55" t="s">
        <v>740</v>
      </c>
      <c r="B27" s="56" t="s">
        <v>171</v>
      </c>
      <c r="C27" s="49" t="s">
        <v>741</v>
      </c>
      <c r="D27" s="57" t="s">
        <v>242</v>
      </c>
      <c r="E27" s="49" t="s">
        <v>493</v>
      </c>
      <c r="F27" s="49" t="s">
        <v>235</v>
      </c>
      <c r="G27" s="49" t="s">
        <v>742</v>
      </c>
      <c r="H27" s="49" t="s">
        <v>743</v>
      </c>
      <c r="I27" s="58" t="s">
        <v>744</v>
      </c>
      <c r="J27" s="69">
        <v>1</v>
      </c>
      <c r="K27" s="70" t="str">
        <f>IF(J27="","",IF(J27="N/A","Not applicable",CHOOSE(J27+1,"Gap","Documented","Implemented","Evidenced","Automated")))</f>
        <v>Documented</v>
      </c>
      <c r="L27" s="57"/>
      <c r="M27" s="59"/>
      <c r="N27" s="49" t="s">
        <v>745</v>
      </c>
      <c r="O27" s="56" t="s">
        <v>34</v>
      </c>
      <c r="P27" s="49" t="s">
        <v>746</v>
      </c>
      <c r="Q27" s="49" t="s">
        <v>747</v>
      </c>
    </row>
    <row r="28" spans="1:17" ht="57.75" customHeight="1" outlineLevel="1" x14ac:dyDescent="0.2">
      <c r="A28" s="55" t="s">
        <v>748</v>
      </c>
      <c r="B28" s="56" t="s">
        <v>171</v>
      </c>
      <c r="C28" s="49" t="s">
        <v>749</v>
      </c>
      <c r="D28" s="57" t="s">
        <v>242</v>
      </c>
      <c r="E28" s="49" t="s">
        <v>750</v>
      </c>
      <c r="F28" s="49" t="s">
        <v>296</v>
      </c>
      <c r="G28" s="49" t="s">
        <v>751</v>
      </c>
      <c r="H28" s="49" t="s">
        <v>752</v>
      </c>
      <c r="I28" s="58" t="s">
        <v>753</v>
      </c>
      <c r="J28" s="69">
        <v>1</v>
      </c>
      <c r="K28" s="70" t="str">
        <f>IF(J28="","",IF(J28="N/A","Not applicable",CHOOSE(J28+1,"Gap","Documented","Implemented","Evidenced","Automated")))</f>
        <v>Documented</v>
      </c>
      <c r="L28" s="57"/>
      <c r="M28" s="59"/>
      <c r="N28" s="49" t="s">
        <v>754</v>
      </c>
      <c r="O28" s="56" t="s">
        <v>34</v>
      </c>
      <c r="P28" s="49" t="s">
        <v>755</v>
      </c>
      <c r="Q28" s="49" t="s">
        <v>756</v>
      </c>
    </row>
    <row r="30" spans="1:17" ht="120" customHeight="1" x14ac:dyDescent="0.25">
      <c r="A30" s="63" t="s">
        <v>441</v>
      </c>
      <c r="C30" s="64" t="s">
        <v>757</v>
      </c>
    </row>
    <row r="31" spans="1:17" ht="150" customHeight="1" x14ac:dyDescent="0.25">
      <c r="A31" s="63" t="s">
        <v>443</v>
      </c>
      <c r="C31" s="64" t="s">
        <v>758</v>
      </c>
    </row>
    <row r="32" spans="1:17" ht="100" customHeight="1" x14ac:dyDescent="0.25">
      <c r="A32" s="63" t="s">
        <v>445</v>
      </c>
      <c r="C32" s="64" t="s">
        <v>759</v>
      </c>
    </row>
    <row r="34" spans="1:3" ht="220" customHeight="1" x14ac:dyDescent="0.25">
      <c r="A34" s="87" t="s">
        <v>447</v>
      </c>
      <c r="C34" s="88" t="s">
        <v>760</v>
      </c>
    </row>
  </sheetData>
  <conditionalFormatting sqref="J5:J28">
    <cfRule type="cellIs" dxfId="111" priority="1" operator="equal">
      <formula>0</formula>
    </cfRule>
    <cfRule type="cellIs" dxfId="110" priority="3" operator="equal">
      <formula>1</formula>
    </cfRule>
    <cfRule type="cellIs" dxfId="109" priority="5" operator="equal">
      <formula>2</formula>
    </cfRule>
    <cfRule type="cellIs" dxfId="108" priority="7" operator="equal">
      <formula>3</formula>
    </cfRule>
    <cfRule type="cellIs" dxfId="107" priority="9" operator="equal">
      <formula>4</formula>
    </cfRule>
    <cfRule type="cellIs" dxfId="106" priority="11" operator="equal">
      <formula>"N/A"</formula>
    </cfRule>
  </conditionalFormatting>
  <conditionalFormatting sqref="K5:K28">
    <cfRule type="expression" dxfId="105" priority="2">
      <formula>$J5=0</formula>
    </cfRule>
    <cfRule type="expression" dxfId="104" priority="4">
      <formula>$J5=1</formula>
    </cfRule>
    <cfRule type="expression" dxfId="103" priority="6">
      <formula>$J5=2</formula>
    </cfRule>
    <cfRule type="expression" dxfId="102" priority="8">
      <formula>$J5=3</formula>
    </cfRule>
    <cfRule type="expression" dxfId="101" priority="10">
      <formula>$J5=4</formula>
    </cfRule>
    <cfRule type="expression" dxfId="100" priority="12">
      <formula>$J5="N/A"</formula>
    </cfRule>
  </conditionalFormatting>
  <conditionalFormatting sqref="L5:L28">
    <cfRule type="expression" dxfId="99" priority="13">
      <formula>AND($J5="N/A",$L5="")</formula>
    </cfRule>
  </conditionalFormatting>
  <conditionalFormatting sqref="O5:O28">
    <cfRule type="cellIs" dxfId="98" priority="14" operator="equal">
      <formula>"Yes"</formula>
    </cfRule>
    <cfRule type="cellIs" dxfId="97" priority="15" operator="equal">
      <formula>"Partial"</formula>
    </cfRule>
    <cfRule type="cellIs" dxfId="96" priority="16" operator="equal">
      <formula>"No"</formula>
    </cfRule>
  </conditionalFormatting>
  <dataValidations count="2">
    <dataValidation type="list" allowBlank="1" showErrorMessage="1" errorTitle="Score out of range" error="Score each control 0 to 4, or N/A. See the scale on the Read Me tab." sqref="J5:J28" xr:uid="{00000000-0002-0000-0400-000000000000}">
      <formula1>"0,1,2,3,4,N/A"</formula1>
    </dataValidation>
    <dataValidation type="list" allowBlank="1" sqref="O5:O28" xr:uid="{00000000-0002-0000-0400-000001000000}">
      <formula1>"Yes,Partial,No"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Q25"/>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761</v>
      </c>
    </row>
    <row r="2" spans="1:17" ht="19" x14ac:dyDescent="0.25">
      <c r="A2" s="46" t="s">
        <v>762</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173</v>
      </c>
      <c r="B5" s="52"/>
      <c r="C5" s="53" t="s">
        <v>763</v>
      </c>
      <c r="D5" s="53"/>
      <c r="E5" s="53"/>
      <c r="F5" s="53"/>
      <c r="G5" s="53"/>
      <c r="H5" s="53"/>
      <c r="I5" s="53"/>
      <c r="J5" s="67">
        <f>IFERROR(ROUND(AVERAGE(J6:J12),1),"")</f>
        <v>1</v>
      </c>
      <c r="K5" s="68" t="str">
        <f>IF(COUNT(J6:J12)=0,IF(COUNTIF(J6:J12,"N/A")&gt;0,"all n/a","not scored"),COUNTIF(J6:J12,0)&amp;" gaps, "&amp;COUNTIFS(J6:J12,"&lt;3")&amp;" below 3")</f>
        <v>0 gaps, 7 below 3</v>
      </c>
      <c r="L5" s="53"/>
      <c r="M5" s="54"/>
      <c r="N5" s="53"/>
      <c r="O5" s="52" t="s">
        <v>625</v>
      </c>
      <c r="P5" s="53"/>
      <c r="Q5" s="53"/>
    </row>
    <row r="6" spans="1:17" ht="57.75" customHeight="1" outlineLevel="1" x14ac:dyDescent="0.2">
      <c r="A6" s="55" t="s">
        <v>764</v>
      </c>
      <c r="B6" s="56" t="s">
        <v>173</v>
      </c>
      <c r="C6" s="49" t="s">
        <v>765</v>
      </c>
      <c r="D6" s="57" t="s">
        <v>242</v>
      </c>
      <c r="E6" s="49" t="s">
        <v>234</v>
      </c>
      <c r="F6" s="49" t="s">
        <v>312</v>
      </c>
      <c r="G6" s="49" t="s">
        <v>766</v>
      </c>
      <c r="H6" s="49" t="s">
        <v>767</v>
      </c>
      <c r="I6" s="58" t="s">
        <v>768</v>
      </c>
      <c r="J6" s="69">
        <v>1</v>
      </c>
      <c r="K6" s="70" t="str">
        <f t="shared" ref="K6:K12" si="0">IF(J6="","",IF(J6="N/A","Not applicable",CHOOSE(J6+1,"Gap","Documented","Implemented","Evidenced","Automated")))</f>
        <v>Documented</v>
      </c>
      <c r="L6" s="57"/>
      <c r="M6" s="59"/>
      <c r="N6" s="49" t="s">
        <v>769</v>
      </c>
      <c r="O6" s="56" t="s">
        <v>281</v>
      </c>
      <c r="P6" s="49" t="s">
        <v>770</v>
      </c>
      <c r="Q6" s="49" t="s">
        <v>771</v>
      </c>
    </row>
    <row r="7" spans="1:17" ht="57.75" customHeight="1" outlineLevel="1" x14ac:dyDescent="0.2">
      <c r="A7" s="55" t="s">
        <v>772</v>
      </c>
      <c r="B7" s="56" t="s">
        <v>173</v>
      </c>
      <c r="C7" s="49" t="s">
        <v>773</v>
      </c>
      <c r="D7" s="57" t="s">
        <v>242</v>
      </c>
      <c r="E7" s="49" t="s">
        <v>421</v>
      </c>
      <c r="F7" s="49" t="s">
        <v>244</v>
      </c>
      <c r="G7" s="49" t="s">
        <v>774</v>
      </c>
      <c r="H7" s="49" t="s">
        <v>775</v>
      </c>
      <c r="I7" s="58" t="s">
        <v>776</v>
      </c>
      <c r="J7" s="69">
        <v>1</v>
      </c>
      <c r="K7" s="70" t="str">
        <f t="shared" si="0"/>
        <v>Documented</v>
      </c>
      <c r="L7" s="57"/>
      <c r="M7" s="59"/>
      <c r="N7" s="49" t="s">
        <v>777</v>
      </c>
      <c r="O7" s="56" t="s">
        <v>281</v>
      </c>
      <c r="P7" s="49" t="s">
        <v>778</v>
      </c>
      <c r="Q7" s="49" t="s">
        <v>779</v>
      </c>
    </row>
    <row r="8" spans="1:17" ht="57.75" customHeight="1" outlineLevel="1" x14ac:dyDescent="0.2">
      <c r="A8" s="55" t="s">
        <v>780</v>
      </c>
      <c r="B8" s="56" t="s">
        <v>173</v>
      </c>
      <c r="C8" s="49" t="s">
        <v>781</v>
      </c>
      <c r="D8" s="57" t="s">
        <v>242</v>
      </c>
      <c r="E8" s="49" t="s">
        <v>782</v>
      </c>
      <c r="F8" s="49" t="s">
        <v>783</v>
      </c>
      <c r="G8" s="49" t="s">
        <v>784</v>
      </c>
      <c r="H8" s="49" t="s">
        <v>785</v>
      </c>
      <c r="I8" s="58" t="s">
        <v>786</v>
      </c>
      <c r="J8" s="69">
        <v>1</v>
      </c>
      <c r="K8" s="70" t="str">
        <f t="shared" si="0"/>
        <v>Documented</v>
      </c>
      <c r="L8" s="57"/>
      <c r="M8" s="59"/>
      <c r="N8" s="49" t="s">
        <v>787</v>
      </c>
      <c r="O8" s="56" t="s">
        <v>281</v>
      </c>
      <c r="P8" s="49" t="s">
        <v>788</v>
      </c>
      <c r="Q8" s="49" t="s">
        <v>789</v>
      </c>
    </row>
    <row r="9" spans="1:17" ht="57.75" customHeight="1" outlineLevel="1" x14ac:dyDescent="0.2">
      <c r="A9" s="55" t="s">
        <v>790</v>
      </c>
      <c r="B9" s="56" t="s">
        <v>173</v>
      </c>
      <c r="C9" s="49" t="s">
        <v>791</v>
      </c>
      <c r="D9" s="57" t="s">
        <v>242</v>
      </c>
      <c r="E9" s="49" t="s">
        <v>782</v>
      </c>
      <c r="F9" s="49" t="s">
        <v>478</v>
      </c>
      <c r="G9" s="49" t="s">
        <v>792</v>
      </c>
      <c r="H9" s="49" t="s">
        <v>793</v>
      </c>
      <c r="I9" s="58" t="s">
        <v>794</v>
      </c>
      <c r="J9" s="69">
        <v>1</v>
      </c>
      <c r="K9" s="70" t="str">
        <f t="shared" si="0"/>
        <v>Documented</v>
      </c>
      <c r="L9" s="57"/>
      <c r="M9" s="59"/>
      <c r="N9" s="49" t="s">
        <v>795</v>
      </c>
      <c r="O9" s="56" t="s">
        <v>281</v>
      </c>
      <c r="P9" s="49" t="s">
        <v>796</v>
      </c>
      <c r="Q9" s="49" t="s">
        <v>797</v>
      </c>
    </row>
    <row r="10" spans="1:17" ht="57.75" customHeight="1" outlineLevel="1" x14ac:dyDescent="0.2">
      <c r="A10" s="55" t="s">
        <v>798</v>
      </c>
      <c r="B10" s="56" t="s">
        <v>173</v>
      </c>
      <c r="C10" s="49" t="s">
        <v>799</v>
      </c>
      <c r="D10" s="57" t="s">
        <v>242</v>
      </c>
      <c r="E10" s="49" t="s">
        <v>421</v>
      </c>
      <c r="F10" s="49" t="s">
        <v>287</v>
      </c>
      <c r="G10" s="49" t="s">
        <v>800</v>
      </c>
      <c r="H10" s="49" t="s">
        <v>801</v>
      </c>
      <c r="I10" s="58" t="s">
        <v>802</v>
      </c>
      <c r="J10" s="69">
        <v>1</v>
      </c>
      <c r="K10" s="70" t="str">
        <f t="shared" si="0"/>
        <v>Documented</v>
      </c>
      <c r="L10" s="57"/>
      <c r="M10" s="59"/>
      <c r="N10" s="49" t="s">
        <v>803</v>
      </c>
      <c r="O10" s="56" t="s">
        <v>281</v>
      </c>
      <c r="P10" s="49" t="s">
        <v>804</v>
      </c>
      <c r="Q10" s="49" t="s">
        <v>805</v>
      </c>
    </row>
    <row r="11" spans="1:17" ht="57.75" customHeight="1" outlineLevel="1" x14ac:dyDescent="0.2">
      <c r="A11" s="55" t="s">
        <v>806</v>
      </c>
      <c r="B11" s="56" t="s">
        <v>173</v>
      </c>
      <c r="C11" s="49" t="s">
        <v>807</v>
      </c>
      <c r="D11" s="57" t="s">
        <v>242</v>
      </c>
      <c r="E11" s="49" t="s">
        <v>234</v>
      </c>
      <c r="F11" s="49" t="s">
        <v>287</v>
      </c>
      <c r="G11" s="49" t="s">
        <v>808</v>
      </c>
      <c r="H11" s="49" t="s">
        <v>809</v>
      </c>
      <c r="I11" s="58" t="s">
        <v>810</v>
      </c>
      <c r="J11" s="69">
        <v>1</v>
      </c>
      <c r="K11" s="70" t="str">
        <f t="shared" si="0"/>
        <v>Documented</v>
      </c>
      <c r="L11" s="57"/>
      <c r="M11" s="59"/>
      <c r="N11" s="49" t="s">
        <v>811</v>
      </c>
      <c r="O11" s="56" t="s">
        <v>281</v>
      </c>
      <c r="P11" s="49" t="s">
        <v>812</v>
      </c>
      <c r="Q11" s="49" t="s">
        <v>813</v>
      </c>
    </row>
    <row r="12" spans="1:17" ht="57.75" customHeight="1" outlineLevel="1" x14ac:dyDescent="0.2">
      <c r="A12" s="55" t="s">
        <v>814</v>
      </c>
      <c r="B12" s="56" t="s">
        <v>173</v>
      </c>
      <c r="C12" s="49" t="s">
        <v>815</v>
      </c>
      <c r="D12" s="57" t="s">
        <v>233</v>
      </c>
      <c r="E12" s="49" t="s">
        <v>234</v>
      </c>
      <c r="F12" s="49" t="s">
        <v>296</v>
      </c>
      <c r="G12" s="49" t="s">
        <v>816</v>
      </c>
      <c r="H12" s="49" t="s">
        <v>817</v>
      </c>
      <c r="I12" s="58" t="s">
        <v>818</v>
      </c>
      <c r="J12" s="69">
        <v>1</v>
      </c>
      <c r="K12" s="70" t="str">
        <f t="shared" si="0"/>
        <v>Documented</v>
      </c>
      <c r="L12" s="57"/>
      <c r="M12" s="59"/>
      <c r="N12" s="49" t="s">
        <v>819</v>
      </c>
      <c r="O12" s="56" t="s">
        <v>281</v>
      </c>
      <c r="P12" s="49" t="s">
        <v>820</v>
      </c>
      <c r="Q12" s="49" t="s">
        <v>821</v>
      </c>
    </row>
    <row r="13" spans="1:17" ht="19.5" customHeight="1" x14ac:dyDescent="0.2">
      <c r="A13" s="52" t="s">
        <v>174</v>
      </c>
      <c r="B13" s="52"/>
      <c r="C13" s="53" t="s">
        <v>822</v>
      </c>
      <c r="D13" s="53"/>
      <c r="E13" s="53"/>
      <c r="F13" s="53"/>
      <c r="G13" s="53"/>
      <c r="H13" s="53"/>
      <c r="I13" s="53"/>
      <c r="J13" s="67">
        <f>IFERROR(ROUND(AVERAGE(J14:J19),1),"")</f>
        <v>1</v>
      </c>
      <c r="K13" s="68" t="str">
        <f>IF(COUNT(J14:J19)=0,IF(COUNTIF(J14:J19,"N/A")&gt;0,"all n/a","not scored"),COUNTIF(J14:J19,0)&amp;" gaps, "&amp;COUNTIFS(J14:J19,"&lt;3")&amp;" below 3")</f>
        <v>0 gaps, 6 below 3</v>
      </c>
      <c r="L13" s="53"/>
      <c r="M13" s="54"/>
      <c r="N13" s="53"/>
      <c r="O13" s="52" t="s">
        <v>823</v>
      </c>
      <c r="P13" s="53"/>
      <c r="Q13" s="53"/>
    </row>
    <row r="14" spans="1:17" ht="57.75" customHeight="1" outlineLevel="1" x14ac:dyDescent="0.2">
      <c r="A14" s="55" t="s">
        <v>824</v>
      </c>
      <c r="B14" s="56" t="s">
        <v>174</v>
      </c>
      <c r="C14" s="49" t="s">
        <v>825</v>
      </c>
      <c r="D14" s="57" t="s">
        <v>242</v>
      </c>
      <c r="E14" s="49" t="s">
        <v>258</v>
      </c>
      <c r="F14" s="49" t="s">
        <v>244</v>
      </c>
      <c r="G14" s="49" t="s">
        <v>826</v>
      </c>
      <c r="H14" s="49" t="s">
        <v>827</v>
      </c>
      <c r="I14" s="58" t="s">
        <v>828</v>
      </c>
      <c r="J14" s="69">
        <v>1</v>
      </c>
      <c r="K14" s="70" t="str">
        <f t="shared" ref="K14:K19" si="1">IF(J14="","",IF(J14="N/A","Not applicable",CHOOSE(J14+1,"Gap","Documented","Implemented","Evidenced","Automated")))</f>
        <v>Documented</v>
      </c>
      <c r="L14" s="57"/>
      <c r="M14" s="59"/>
      <c r="N14" s="49" t="s">
        <v>458</v>
      </c>
      <c r="O14" s="56" t="s">
        <v>281</v>
      </c>
      <c r="P14" s="49" t="s">
        <v>829</v>
      </c>
      <c r="Q14" s="49" t="s">
        <v>830</v>
      </c>
    </row>
    <row r="15" spans="1:17" ht="57.75" customHeight="1" outlineLevel="1" x14ac:dyDescent="0.2">
      <c r="A15" s="55" t="s">
        <v>831</v>
      </c>
      <c r="B15" s="56" t="s">
        <v>174</v>
      </c>
      <c r="C15" s="49" t="s">
        <v>832</v>
      </c>
      <c r="D15" s="57" t="s">
        <v>242</v>
      </c>
      <c r="E15" s="49" t="s">
        <v>421</v>
      </c>
      <c r="F15" s="49" t="s">
        <v>296</v>
      </c>
      <c r="G15" s="49" t="s">
        <v>833</v>
      </c>
      <c r="H15" s="49" t="s">
        <v>834</v>
      </c>
      <c r="I15" s="58" t="s">
        <v>835</v>
      </c>
      <c r="J15" s="69">
        <v>1</v>
      </c>
      <c r="K15" s="70" t="str">
        <f t="shared" si="1"/>
        <v>Documented</v>
      </c>
      <c r="L15" s="57"/>
      <c r="M15" s="59"/>
      <c r="N15" s="49" t="s">
        <v>836</v>
      </c>
      <c r="O15" s="56" t="s">
        <v>281</v>
      </c>
      <c r="P15" s="49" t="s">
        <v>837</v>
      </c>
      <c r="Q15" s="49" t="s">
        <v>838</v>
      </c>
    </row>
    <row r="16" spans="1:17" ht="57.75" customHeight="1" outlineLevel="1" x14ac:dyDescent="0.2">
      <c r="A16" s="55" t="s">
        <v>839</v>
      </c>
      <c r="B16" s="56" t="s">
        <v>174</v>
      </c>
      <c r="C16" s="49" t="s">
        <v>840</v>
      </c>
      <c r="D16" s="57" t="s">
        <v>242</v>
      </c>
      <c r="E16" s="49" t="s">
        <v>258</v>
      </c>
      <c r="F16" s="49" t="s">
        <v>244</v>
      </c>
      <c r="G16" s="49" t="s">
        <v>841</v>
      </c>
      <c r="H16" s="49" t="s">
        <v>842</v>
      </c>
      <c r="I16" s="58" t="s">
        <v>843</v>
      </c>
      <c r="J16" s="69">
        <v>1</v>
      </c>
      <c r="K16" s="70" t="str">
        <f t="shared" si="1"/>
        <v>Documented</v>
      </c>
      <c r="L16" s="57"/>
      <c r="M16" s="59"/>
      <c r="N16" s="49" t="s">
        <v>844</v>
      </c>
      <c r="O16" s="56" t="s">
        <v>34</v>
      </c>
      <c r="P16" s="49" t="s">
        <v>845</v>
      </c>
      <c r="Q16" s="49" t="s">
        <v>846</v>
      </c>
    </row>
    <row r="17" spans="1:17" ht="57.75" customHeight="1" outlineLevel="1" x14ac:dyDescent="0.2">
      <c r="A17" s="55" t="s">
        <v>847</v>
      </c>
      <c r="B17" s="56" t="s">
        <v>174</v>
      </c>
      <c r="C17" s="49" t="s">
        <v>848</v>
      </c>
      <c r="D17" s="57" t="s">
        <v>242</v>
      </c>
      <c r="E17" s="49" t="s">
        <v>258</v>
      </c>
      <c r="F17" s="49" t="s">
        <v>244</v>
      </c>
      <c r="G17" s="49" t="s">
        <v>849</v>
      </c>
      <c r="H17" s="49" t="s">
        <v>850</v>
      </c>
      <c r="I17" s="58" t="s">
        <v>851</v>
      </c>
      <c r="J17" s="69">
        <v>1</v>
      </c>
      <c r="K17" s="70" t="str">
        <f t="shared" si="1"/>
        <v>Documented</v>
      </c>
      <c r="L17" s="57"/>
      <c r="M17" s="59"/>
      <c r="N17" s="49" t="s">
        <v>852</v>
      </c>
      <c r="O17" s="56" t="s">
        <v>34</v>
      </c>
      <c r="P17" s="49" t="s">
        <v>853</v>
      </c>
      <c r="Q17" s="49" t="s">
        <v>854</v>
      </c>
    </row>
    <row r="18" spans="1:17" ht="57.75" customHeight="1" outlineLevel="1" x14ac:dyDescent="0.2">
      <c r="A18" s="55" t="s">
        <v>855</v>
      </c>
      <c r="B18" s="56" t="s">
        <v>174</v>
      </c>
      <c r="C18" s="49" t="s">
        <v>856</v>
      </c>
      <c r="D18" s="57" t="s">
        <v>242</v>
      </c>
      <c r="E18" s="49" t="s">
        <v>421</v>
      </c>
      <c r="F18" s="49" t="s">
        <v>296</v>
      </c>
      <c r="G18" s="49" t="s">
        <v>857</v>
      </c>
      <c r="H18" s="49" t="s">
        <v>858</v>
      </c>
      <c r="I18" s="58" t="s">
        <v>859</v>
      </c>
      <c r="J18" s="69">
        <v>1</v>
      </c>
      <c r="K18" s="70" t="str">
        <f t="shared" si="1"/>
        <v>Documented</v>
      </c>
      <c r="L18" s="57"/>
      <c r="M18" s="59"/>
      <c r="N18" s="49" t="s">
        <v>860</v>
      </c>
      <c r="O18" s="56" t="s">
        <v>34</v>
      </c>
      <c r="P18" s="49" t="s">
        <v>861</v>
      </c>
      <c r="Q18" s="49" t="s">
        <v>862</v>
      </c>
    </row>
    <row r="19" spans="1:17" ht="57.75" customHeight="1" outlineLevel="1" x14ac:dyDescent="0.2">
      <c r="A19" s="55" t="s">
        <v>863</v>
      </c>
      <c r="B19" s="56" t="s">
        <v>174</v>
      </c>
      <c r="C19" s="49" t="s">
        <v>864</v>
      </c>
      <c r="D19" s="57" t="s">
        <v>242</v>
      </c>
      <c r="E19" s="49" t="s">
        <v>421</v>
      </c>
      <c r="F19" s="49" t="s">
        <v>244</v>
      </c>
      <c r="G19" s="49" t="s">
        <v>865</v>
      </c>
      <c r="H19" s="49" t="s">
        <v>866</v>
      </c>
      <c r="I19" s="58" t="s">
        <v>867</v>
      </c>
      <c r="J19" s="69">
        <v>1</v>
      </c>
      <c r="K19" s="70" t="str">
        <f t="shared" si="1"/>
        <v>Documented</v>
      </c>
      <c r="L19" s="57"/>
      <c r="M19" s="59"/>
      <c r="N19" s="49" t="s">
        <v>868</v>
      </c>
      <c r="O19" s="56" t="s">
        <v>34</v>
      </c>
      <c r="P19" s="49" t="s">
        <v>869</v>
      </c>
      <c r="Q19" s="49" t="s">
        <v>870</v>
      </c>
    </row>
    <row r="21" spans="1:17" ht="120" customHeight="1" x14ac:dyDescent="0.25">
      <c r="A21" s="63" t="s">
        <v>441</v>
      </c>
      <c r="C21" s="64" t="s">
        <v>871</v>
      </c>
    </row>
    <row r="22" spans="1:17" ht="150" customHeight="1" x14ac:dyDescent="0.25">
      <c r="A22" s="63" t="s">
        <v>443</v>
      </c>
      <c r="C22" s="64" t="s">
        <v>872</v>
      </c>
    </row>
    <row r="23" spans="1:17" ht="100" customHeight="1" x14ac:dyDescent="0.25">
      <c r="A23" s="63" t="s">
        <v>445</v>
      </c>
      <c r="C23" s="64" t="s">
        <v>873</v>
      </c>
    </row>
    <row r="25" spans="1:17" ht="220" customHeight="1" x14ac:dyDescent="0.25">
      <c r="A25" s="87" t="s">
        <v>447</v>
      </c>
      <c r="C25" s="88" t="s">
        <v>874</v>
      </c>
    </row>
  </sheetData>
  <conditionalFormatting sqref="J5:J19">
    <cfRule type="cellIs" dxfId="95" priority="1" operator="equal">
      <formula>0</formula>
    </cfRule>
    <cfRule type="cellIs" dxfId="94" priority="3" operator="equal">
      <formula>1</formula>
    </cfRule>
    <cfRule type="cellIs" dxfId="93" priority="5" operator="equal">
      <formula>2</formula>
    </cfRule>
    <cfRule type="cellIs" dxfId="92" priority="7" operator="equal">
      <formula>3</formula>
    </cfRule>
    <cfRule type="cellIs" dxfId="91" priority="9" operator="equal">
      <formula>4</formula>
    </cfRule>
    <cfRule type="cellIs" dxfId="90" priority="11" operator="equal">
      <formula>"N/A"</formula>
    </cfRule>
  </conditionalFormatting>
  <conditionalFormatting sqref="K5:K19">
    <cfRule type="expression" dxfId="89" priority="2">
      <formula>$J5=0</formula>
    </cfRule>
    <cfRule type="expression" dxfId="88" priority="4">
      <formula>$J5=1</formula>
    </cfRule>
    <cfRule type="expression" dxfId="87" priority="6">
      <formula>$J5=2</formula>
    </cfRule>
    <cfRule type="expression" dxfId="86" priority="8">
      <formula>$J5=3</formula>
    </cfRule>
    <cfRule type="expression" dxfId="85" priority="10">
      <formula>$J5=4</formula>
    </cfRule>
    <cfRule type="expression" dxfId="84" priority="12">
      <formula>$J5="N/A"</formula>
    </cfRule>
  </conditionalFormatting>
  <conditionalFormatting sqref="L5:L19">
    <cfRule type="expression" dxfId="83" priority="13">
      <formula>AND($J5="N/A",$L5="")</formula>
    </cfRule>
  </conditionalFormatting>
  <conditionalFormatting sqref="O5:O19">
    <cfRule type="cellIs" dxfId="82" priority="14" operator="equal">
      <formula>"Yes"</formula>
    </cfRule>
    <cfRule type="cellIs" dxfId="81" priority="15" operator="equal">
      <formula>"Partial"</formula>
    </cfRule>
    <cfRule type="cellIs" dxfId="80" priority="16" operator="equal">
      <formula>"No"</formula>
    </cfRule>
  </conditionalFormatting>
  <dataValidations count="2">
    <dataValidation type="list" allowBlank="1" showErrorMessage="1" errorTitle="Score out of range" error="Score each control 0 to 4, or N/A. See the scale on the Read Me tab." sqref="J5:J19" xr:uid="{00000000-0002-0000-0500-000000000000}">
      <formula1>"0,1,2,3,4,N/A"</formula1>
    </dataValidation>
    <dataValidation type="list" allowBlank="1" sqref="O5:O19" xr:uid="{00000000-0002-0000-0500-000001000000}">
      <formula1>"Yes,Partial,No"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Q25"/>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875</v>
      </c>
    </row>
    <row r="2" spans="1:17" ht="19" x14ac:dyDescent="0.25">
      <c r="A2" s="46" t="s">
        <v>876</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176</v>
      </c>
      <c r="B5" s="52"/>
      <c r="C5" s="53" t="s">
        <v>877</v>
      </c>
      <c r="D5" s="53"/>
      <c r="E5" s="53"/>
      <c r="F5" s="53"/>
      <c r="G5" s="53"/>
      <c r="H5" s="53"/>
      <c r="I5" s="53"/>
      <c r="J5" s="67">
        <f>IFERROR(ROUND(AVERAGE(J6:J9),1),"")</f>
        <v>1</v>
      </c>
      <c r="K5" s="68" t="str">
        <f>IF(COUNT(J6:J9)=0,IF(COUNTIF(J6:J9,"N/A")&gt;0,"all n/a","not scored"),COUNTIF(J6:J9,0)&amp;" gaps, "&amp;COUNTIFS(J6:J9,"&lt;3")&amp;" below 3")</f>
        <v>0 gaps, 4 below 3</v>
      </c>
      <c r="L5" s="53"/>
      <c r="M5" s="54"/>
      <c r="N5" s="53"/>
      <c r="O5" s="52" t="s">
        <v>686</v>
      </c>
      <c r="P5" s="53"/>
      <c r="Q5" s="53"/>
    </row>
    <row r="6" spans="1:17" ht="57.75" customHeight="1" outlineLevel="1" x14ac:dyDescent="0.2">
      <c r="A6" s="55" t="s">
        <v>878</v>
      </c>
      <c r="B6" s="56" t="s">
        <v>176</v>
      </c>
      <c r="C6" s="49" t="s">
        <v>879</v>
      </c>
      <c r="D6" s="57" t="s">
        <v>242</v>
      </c>
      <c r="E6" s="49" t="s">
        <v>637</v>
      </c>
      <c r="F6" s="49" t="s">
        <v>244</v>
      </c>
      <c r="G6" s="49" t="s">
        <v>880</v>
      </c>
      <c r="H6" s="49" t="s">
        <v>881</v>
      </c>
      <c r="I6" s="58" t="s">
        <v>882</v>
      </c>
      <c r="J6" s="69">
        <v>1</v>
      </c>
      <c r="K6" s="70" t="str">
        <f>IF(J6="","",IF(J6="N/A","Not applicable",CHOOSE(J6+1,"Gap","Documented","Implemented","Evidenced","Automated")))</f>
        <v>Documented</v>
      </c>
      <c r="L6" s="57"/>
      <c r="M6" s="59"/>
      <c r="N6" s="49" t="s">
        <v>883</v>
      </c>
      <c r="O6" s="56" t="s">
        <v>281</v>
      </c>
      <c r="P6" s="49" t="s">
        <v>884</v>
      </c>
      <c r="Q6" s="49" t="s">
        <v>885</v>
      </c>
    </row>
    <row r="7" spans="1:17" ht="57.75" customHeight="1" outlineLevel="1" x14ac:dyDescent="0.2">
      <c r="A7" s="55" t="s">
        <v>886</v>
      </c>
      <c r="B7" s="56" t="s">
        <v>176</v>
      </c>
      <c r="C7" s="49" t="s">
        <v>887</v>
      </c>
      <c r="D7" s="57" t="s">
        <v>242</v>
      </c>
      <c r="E7" s="49" t="s">
        <v>234</v>
      </c>
      <c r="F7" s="49" t="s">
        <v>244</v>
      </c>
      <c r="G7" s="49" t="s">
        <v>888</v>
      </c>
      <c r="H7" s="49" t="s">
        <v>889</v>
      </c>
      <c r="I7" s="58" t="s">
        <v>890</v>
      </c>
      <c r="J7" s="69">
        <v>1</v>
      </c>
      <c r="K7" s="70" t="str">
        <f>IF(J7="","",IF(J7="N/A","Not applicable",CHOOSE(J7+1,"Gap","Documented","Implemented","Evidenced","Automated")))</f>
        <v>Documented</v>
      </c>
      <c r="L7" s="57"/>
      <c r="M7" s="59"/>
      <c r="N7" s="49" t="s">
        <v>891</v>
      </c>
      <c r="O7" s="56" t="s">
        <v>34</v>
      </c>
      <c r="P7" s="49" t="s">
        <v>892</v>
      </c>
      <c r="Q7" s="49" t="s">
        <v>893</v>
      </c>
    </row>
    <row r="8" spans="1:17" ht="57.75" customHeight="1" outlineLevel="1" x14ac:dyDescent="0.2">
      <c r="A8" s="55" t="s">
        <v>894</v>
      </c>
      <c r="B8" s="56" t="s">
        <v>176</v>
      </c>
      <c r="C8" s="49" t="s">
        <v>895</v>
      </c>
      <c r="D8" s="57" t="s">
        <v>242</v>
      </c>
      <c r="E8" s="49" t="s">
        <v>234</v>
      </c>
      <c r="F8" s="49" t="s">
        <v>244</v>
      </c>
      <c r="G8" s="49" t="s">
        <v>896</v>
      </c>
      <c r="H8" s="49" t="s">
        <v>897</v>
      </c>
      <c r="I8" s="58" t="s">
        <v>898</v>
      </c>
      <c r="J8" s="69">
        <v>1</v>
      </c>
      <c r="K8" s="70" t="str">
        <f>IF(J8="","",IF(J8="N/A","Not applicable",CHOOSE(J8+1,"Gap","Documented","Implemented","Evidenced","Automated")))</f>
        <v>Documented</v>
      </c>
      <c r="L8" s="57"/>
      <c r="M8" s="59"/>
      <c r="N8" s="49" t="s">
        <v>899</v>
      </c>
      <c r="O8" s="56" t="s">
        <v>281</v>
      </c>
      <c r="P8" s="49" t="s">
        <v>900</v>
      </c>
      <c r="Q8" s="49" t="s">
        <v>901</v>
      </c>
    </row>
    <row r="9" spans="1:17" ht="57.75" customHeight="1" outlineLevel="1" x14ac:dyDescent="0.2">
      <c r="A9" s="55" t="s">
        <v>902</v>
      </c>
      <c r="B9" s="56" t="s">
        <v>176</v>
      </c>
      <c r="C9" s="49" t="s">
        <v>903</v>
      </c>
      <c r="D9" s="57" t="s">
        <v>242</v>
      </c>
      <c r="E9" s="49" t="s">
        <v>234</v>
      </c>
      <c r="F9" s="49" t="s">
        <v>287</v>
      </c>
      <c r="G9" s="49" t="s">
        <v>904</v>
      </c>
      <c r="H9" s="49" t="s">
        <v>905</v>
      </c>
      <c r="I9" s="58" t="s">
        <v>906</v>
      </c>
      <c r="J9" s="69">
        <v>1</v>
      </c>
      <c r="K9" s="70" t="str">
        <f>IF(J9="","",IF(J9="N/A","Not applicable",CHOOSE(J9+1,"Gap","Documented","Implemented","Evidenced","Automated")))</f>
        <v>Documented</v>
      </c>
      <c r="L9" s="57"/>
      <c r="M9" s="59"/>
      <c r="N9" s="49" t="s">
        <v>907</v>
      </c>
      <c r="O9" s="56" t="s">
        <v>281</v>
      </c>
      <c r="P9" s="49" t="s">
        <v>908</v>
      </c>
      <c r="Q9" s="49" t="s">
        <v>909</v>
      </c>
    </row>
    <row r="10" spans="1:17" ht="19.5" customHeight="1" x14ac:dyDescent="0.2">
      <c r="A10" s="52" t="s">
        <v>177</v>
      </c>
      <c r="B10" s="52"/>
      <c r="C10" s="53" t="s">
        <v>910</v>
      </c>
      <c r="D10" s="53"/>
      <c r="E10" s="53"/>
      <c r="F10" s="53"/>
      <c r="G10" s="53"/>
      <c r="H10" s="53"/>
      <c r="I10" s="53"/>
      <c r="J10" s="67">
        <f>IFERROR(ROUND(AVERAGE(J11:J14),1),"")</f>
        <v>1</v>
      </c>
      <c r="K10" s="68" t="str">
        <f>IF(COUNT(J11:J14)=0,IF(COUNTIF(J11:J14,"N/A")&gt;0,"all n/a","not scored"),COUNTIF(J11:J14,0)&amp;" gaps, "&amp;COUNTIFS(J11:J14,"&lt;3")&amp;" below 3")</f>
        <v>0 gaps, 4 below 3</v>
      </c>
      <c r="L10" s="53"/>
      <c r="M10" s="54"/>
      <c r="N10" s="53"/>
      <c r="O10" s="52" t="s">
        <v>911</v>
      </c>
      <c r="P10" s="53"/>
      <c r="Q10" s="53"/>
    </row>
    <row r="11" spans="1:17" ht="57.75" customHeight="1" outlineLevel="1" x14ac:dyDescent="0.2">
      <c r="A11" s="55" t="s">
        <v>912</v>
      </c>
      <c r="B11" s="56" t="s">
        <v>177</v>
      </c>
      <c r="C11" s="49" t="s">
        <v>913</v>
      </c>
      <c r="D11" s="57" t="s">
        <v>242</v>
      </c>
      <c r="E11" s="49" t="s">
        <v>258</v>
      </c>
      <c r="F11" s="49" t="s">
        <v>914</v>
      </c>
      <c r="G11" s="49" t="s">
        <v>915</v>
      </c>
      <c r="H11" s="49" t="s">
        <v>916</v>
      </c>
      <c r="I11" s="58" t="s">
        <v>917</v>
      </c>
      <c r="J11" s="69">
        <v>1</v>
      </c>
      <c r="K11" s="70" t="str">
        <f>IF(J11="","",IF(J11="N/A","Not applicable",CHOOSE(J11+1,"Gap","Documented","Implemented","Evidenced","Automated")))</f>
        <v>Documented</v>
      </c>
      <c r="L11" s="57"/>
      <c r="M11" s="59"/>
      <c r="N11" s="49" t="s">
        <v>918</v>
      </c>
      <c r="O11" s="56" t="s">
        <v>281</v>
      </c>
      <c r="P11" s="49" t="s">
        <v>919</v>
      </c>
      <c r="Q11" s="49" t="s">
        <v>920</v>
      </c>
    </row>
    <row r="12" spans="1:17" ht="57.75" customHeight="1" outlineLevel="1" x14ac:dyDescent="0.2">
      <c r="A12" s="55" t="s">
        <v>921</v>
      </c>
      <c r="B12" s="56" t="s">
        <v>177</v>
      </c>
      <c r="C12" s="49" t="s">
        <v>922</v>
      </c>
      <c r="D12" s="57" t="s">
        <v>242</v>
      </c>
      <c r="E12" s="49" t="s">
        <v>234</v>
      </c>
      <c r="F12" s="49" t="s">
        <v>312</v>
      </c>
      <c r="G12" s="49" t="s">
        <v>923</v>
      </c>
      <c r="H12" s="49" t="s">
        <v>924</v>
      </c>
      <c r="I12" s="58" t="s">
        <v>925</v>
      </c>
      <c r="J12" s="69">
        <v>1</v>
      </c>
      <c r="K12" s="70" t="str">
        <f>IF(J12="","",IF(J12="N/A","Not applicable",CHOOSE(J12+1,"Gap","Documented","Implemented","Evidenced","Automated")))</f>
        <v>Documented</v>
      </c>
      <c r="L12" s="57"/>
      <c r="M12" s="59"/>
      <c r="N12" s="49" t="s">
        <v>926</v>
      </c>
      <c r="O12" s="56" t="s">
        <v>281</v>
      </c>
      <c r="P12" s="49" t="s">
        <v>927</v>
      </c>
      <c r="Q12" s="49" t="s">
        <v>928</v>
      </c>
    </row>
    <row r="13" spans="1:17" ht="57.75" customHeight="1" outlineLevel="1" x14ac:dyDescent="0.2">
      <c r="A13" s="55" t="s">
        <v>929</v>
      </c>
      <c r="B13" s="56" t="s">
        <v>177</v>
      </c>
      <c r="C13" s="49" t="s">
        <v>930</v>
      </c>
      <c r="D13" s="57" t="s">
        <v>242</v>
      </c>
      <c r="E13" s="49" t="s">
        <v>258</v>
      </c>
      <c r="F13" s="49" t="s">
        <v>931</v>
      </c>
      <c r="G13" s="49" t="s">
        <v>932</v>
      </c>
      <c r="H13" s="49" t="s">
        <v>933</v>
      </c>
      <c r="I13" s="58" t="s">
        <v>934</v>
      </c>
      <c r="J13" s="69">
        <v>1</v>
      </c>
      <c r="K13" s="70" t="str">
        <f>IF(J13="","",IF(J13="N/A","Not applicable",CHOOSE(J13+1,"Gap","Documented","Implemented","Evidenced","Automated")))</f>
        <v>Documented</v>
      </c>
      <c r="L13" s="57"/>
      <c r="M13" s="59"/>
      <c r="N13" s="49" t="s">
        <v>935</v>
      </c>
      <c r="O13" s="56" t="s">
        <v>281</v>
      </c>
      <c r="P13" s="49" t="s">
        <v>936</v>
      </c>
      <c r="Q13" s="49" t="s">
        <v>937</v>
      </c>
    </row>
    <row r="14" spans="1:17" ht="57.75" customHeight="1" outlineLevel="1" x14ac:dyDescent="0.2">
      <c r="A14" s="55" t="s">
        <v>938</v>
      </c>
      <c r="B14" s="56" t="s">
        <v>177</v>
      </c>
      <c r="C14" s="49" t="s">
        <v>939</v>
      </c>
      <c r="D14" s="57" t="s">
        <v>242</v>
      </c>
      <c r="E14" s="49" t="s">
        <v>258</v>
      </c>
      <c r="F14" s="49" t="s">
        <v>287</v>
      </c>
      <c r="G14" s="49" t="s">
        <v>940</v>
      </c>
      <c r="H14" s="49" t="s">
        <v>941</v>
      </c>
      <c r="I14" s="58" t="s">
        <v>942</v>
      </c>
      <c r="J14" s="69">
        <v>1</v>
      </c>
      <c r="K14" s="70" t="str">
        <f>IF(J14="","",IF(J14="N/A","Not applicable",CHOOSE(J14+1,"Gap","Documented","Implemented","Evidenced","Automated")))</f>
        <v>Documented</v>
      </c>
      <c r="L14" s="57"/>
      <c r="M14" s="59"/>
      <c r="N14" s="49" t="s">
        <v>943</v>
      </c>
      <c r="O14" s="56" t="s">
        <v>281</v>
      </c>
      <c r="P14" s="49" t="s">
        <v>944</v>
      </c>
      <c r="Q14" s="49" t="s">
        <v>945</v>
      </c>
    </row>
    <row r="15" spans="1:17" ht="19.5" customHeight="1" x14ac:dyDescent="0.2">
      <c r="A15" s="52" t="s">
        <v>178</v>
      </c>
      <c r="B15" s="52"/>
      <c r="C15" s="53" t="s">
        <v>946</v>
      </c>
      <c r="D15" s="53"/>
      <c r="E15" s="53"/>
      <c r="F15" s="53"/>
      <c r="G15" s="53"/>
      <c r="H15" s="53"/>
      <c r="I15" s="53"/>
      <c r="J15" s="67">
        <f>IFERROR(ROUND(AVERAGE(J16:J19),1),"")</f>
        <v>1</v>
      </c>
      <c r="K15" s="68" t="str">
        <f>IF(COUNT(J16:J19)=0,IF(COUNTIF(J16:J19,"N/A")&gt;0,"all n/a","not scored"),COUNTIF(J16:J19,0)&amp;" gaps, "&amp;COUNTIFS(J16:J19,"&lt;3")&amp;" below 3")</f>
        <v>0 gaps, 4 below 3</v>
      </c>
      <c r="L15" s="53"/>
      <c r="M15" s="54"/>
      <c r="N15" s="53"/>
      <c r="O15" s="52" t="s">
        <v>686</v>
      </c>
      <c r="P15" s="53"/>
      <c r="Q15" s="53"/>
    </row>
    <row r="16" spans="1:17" ht="57.75" customHeight="1" outlineLevel="1" x14ac:dyDescent="0.2">
      <c r="A16" s="55" t="s">
        <v>947</v>
      </c>
      <c r="B16" s="56" t="s">
        <v>178</v>
      </c>
      <c r="C16" s="49" t="s">
        <v>948</v>
      </c>
      <c r="D16" s="57" t="s">
        <v>233</v>
      </c>
      <c r="E16" s="49" t="s">
        <v>234</v>
      </c>
      <c r="F16" s="49" t="s">
        <v>235</v>
      </c>
      <c r="G16" s="49" t="s">
        <v>949</v>
      </c>
      <c r="H16" s="49" t="s">
        <v>950</v>
      </c>
      <c r="I16" s="58" t="s">
        <v>951</v>
      </c>
      <c r="J16" s="69">
        <v>1</v>
      </c>
      <c r="K16" s="70" t="str">
        <f>IF(J16="","",IF(J16="N/A","Not applicable",CHOOSE(J16+1,"Gap","Documented","Implemented","Evidenced","Automated")))</f>
        <v>Documented</v>
      </c>
      <c r="L16" s="57"/>
      <c r="M16" s="59"/>
      <c r="N16" s="49" t="s">
        <v>497</v>
      </c>
      <c r="O16" s="56" t="s">
        <v>281</v>
      </c>
      <c r="P16" s="49" t="s">
        <v>952</v>
      </c>
      <c r="Q16" s="49" t="s">
        <v>953</v>
      </c>
    </row>
    <row r="17" spans="1:17" ht="57.75" customHeight="1" outlineLevel="1" x14ac:dyDescent="0.2">
      <c r="A17" s="55" t="s">
        <v>954</v>
      </c>
      <c r="B17" s="56" t="s">
        <v>178</v>
      </c>
      <c r="C17" s="49" t="s">
        <v>955</v>
      </c>
      <c r="D17" s="57" t="s">
        <v>242</v>
      </c>
      <c r="E17" s="49" t="s">
        <v>234</v>
      </c>
      <c r="F17" s="49" t="s">
        <v>287</v>
      </c>
      <c r="G17" s="49" t="s">
        <v>956</v>
      </c>
      <c r="H17" s="49" t="s">
        <v>957</v>
      </c>
      <c r="I17" s="58" t="s">
        <v>958</v>
      </c>
      <c r="J17" s="69">
        <v>1</v>
      </c>
      <c r="K17" s="70" t="str">
        <f>IF(J17="","",IF(J17="N/A","Not applicable",CHOOSE(J17+1,"Gap","Documented","Implemented","Evidenced","Automated")))</f>
        <v>Documented</v>
      </c>
      <c r="L17" s="57"/>
      <c r="M17" s="59"/>
      <c r="N17" s="49" t="s">
        <v>959</v>
      </c>
      <c r="O17" s="56" t="s">
        <v>281</v>
      </c>
      <c r="P17" s="49" t="s">
        <v>960</v>
      </c>
      <c r="Q17" s="49" t="s">
        <v>961</v>
      </c>
    </row>
    <row r="18" spans="1:17" ht="57.75" customHeight="1" outlineLevel="1" x14ac:dyDescent="0.2">
      <c r="A18" s="55" t="s">
        <v>962</v>
      </c>
      <c r="B18" s="56" t="s">
        <v>178</v>
      </c>
      <c r="C18" s="49" t="s">
        <v>963</v>
      </c>
      <c r="D18" s="57" t="s">
        <v>233</v>
      </c>
      <c r="E18" s="49" t="s">
        <v>266</v>
      </c>
      <c r="F18" s="49" t="s">
        <v>296</v>
      </c>
      <c r="G18" s="49" t="s">
        <v>964</v>
      </c>
      <c r="H18" s="49" t="s">
        <v>965</v>
      </c>
      <c r="I18" s="58" t="s">
        <v>966</v>
      </c>
      <c r="J18" s="69">
        <v>1</v>
      </c>
      <c r="K18" s="70" t="str">
        <f>IF(J18="","",IF(J18="N/A","Not applicable",CHOOSE(J18+1,"Gap","Documented","Implemented","Evidenced","Automated")))</f>
        <v>Documented</v>
      </c>
      <c r="L18" s="57"/>
      <c r="M18" s="59"/>
      <c r="N18" s="49" t="s">
        <v>967</v>
      </c>
      <c r="O18" s="56" t="s">
        <v>281</v>
      </c>
      <c r="P18" s="49" t="s">
        <v>968</v>
      </c>
      <c r="Q18" s="49" t="s">
        <v>969</v>
      </c>
    </row>
    <row r="19" spans="1:17" ht="57.75" customHeight="1" outlineLevel="1" x14ac:dyDescent="0.2">
      <c r="A19" s="55" t="s">
        <v>970</v>
      </c>
      <c r="B19" s="56" t="s">
        <v>178</v>
      </c>
      <c r="C19" s="49" t="s">
        <v>971</v>
      </c>
      <c r="D19" s="57" t="s">
        <v>242</v>
      </c>
      <c r="E19" s="49" t="s">
        <v>421</v>
      </c>
      <c r="F19" s="49" t="s">
        <v>244</v>
      </c>
      <c r="G19" s="49" t="s">
        <v>972</v>
      </c>
      <c r="H19" s="49" t="s">
        <v>973</v>
      </c>
      <c r="I19" s="58" t="s">
        <v>974</v>
      </c>
      <c r="J19" s="69">
        <v>1</v>
      </c>
      <c r="K19" s="70" t="str">
        <f>IF(J19="","",IF(J19="N/A","Not applicable",CHOOSE(J19+1,"Gap","Documented","Implemented","Evidenced","Automated")))</f>
        <v>Documented</v>
      </c>
      <c r="L19" s="57"/>
      <c r="M19" s="59"/>
      <c r="N19" s="49" t="s">
        <v>975</v>
      </c>
      <c r="O19" s="56" t="s">
        <v>34</v>
      </c>
      <c r="P19" s="49" t="s">
        <v>976</v>
      </c>
      <c r="Q19" s="49" t="s">
        <v>977</v>
      </c>
    </row>
    <row r="21" spans="1:17" ht="120" customHeight="1" x14ac:dyDescent="0.25">
      <c r="A21" s="63" t="s">
        <v>441</v>
      </c>
      <c r="C21" s="64" t="s">
        <v>978</v>
      </c>
    </row>
    <row r="22" spans="1:17" ht="150" customHeight="1" x14ac:dyDescent="0.25">
      <c r="A22" s="63" t="s">
        <v>443</v>
      </c>
      <c r="C22" s="64" t="s">
        <v>979</v>
      </c>
    </row>
    <row r="23" spans="1:17" ht="100" customHeight="1" x14ac:dyDescent="0.25">
      <c r="A23" s="63" t="s">
        <v>445</v>
      </c>
      <c r="C23" s="64" t="s">
        <v>980</v>
      </c>
    </row>
    <row r="25" spans="1:17" ht="220" customHeight="1" x14ac:dyDescent="0.25">
      <c r="A25" s="87" t="s">
        <v>447</v>
      </c>
      <c r="C25" s="88" t="s">
        <v>981</v>
      </c>
    </row>
  </sheetData>
  <conditionalFormatting sqref="J5:J19">
    <cfRule type="cellIs" dxfId="79" priority="1" operator="equal">
      <formula>0</formula>
    </cfRule>
    <cfRule type="cellIs" dxfId="78" priority="3" operator="equal">
      <formula>1</formula>
    </cfRule>
    <cfRule type="cellIs" dxfId="77" priority="5" operator="equal">
      <formula>2</formula>
    </cfRule>
    <cfRule type="cellIs" dxfId="76" priority="7" operator="equal">
      <formula>3</formula>
    </cfRule>
    <cfRule type="cellIs" dxfId="75" priority="9" operator="equal">
      <formula>4</formula>
    </cfRule>
    <cfRule type="cellIs" dxfId="74" priority="11" operator="equal">
      <formula>"N/A"</formula>
    </cfRule>
  </conditionalFormatting>
  <conditionalFormatting sqref="K5:K19">
    <cfRule type="expression" dxfId="73" priority="2">
      <formula>$J5=0</formula>
    </cfRule>
    <cfRule type="expression" dxfId="72" priority="4">
      <formula>$J5=1</formula>
    </cfRule>
    <cfRule type="expression" dxfId="71" priority="6">
      <formula>$J5=2</formula>
    </cfRule>
    <cfRule type="expression" dxfId="70" priority="8">
      <formula>$J5=3</formula>
    </cfRule>
    <cfRule type="expression" dxfId="69" priority="10">
      <formula>$J5=4</formula>
    </cfRule>
    <cfRule type="expression" dxfId="68" priority="12">
      <formula>$J5="N/A"</formula>
    </cfRule>
  </conditionalFormatting>
  <conditionalFormatting sqref="L5:L19">
    <cfRule type="expression" dxfId="67" priority="13">
      <formula>AND($J5="N/A",$L5="")</formula>
    </cfRule>
  </conditionalFormatting>
  <conditionalFormatting sqref="O5:O19">
    <cfRule type="cellIs" dxfId="66" priority="14" operator="equal">
      <formula>"Yes"</formula>
    </cfRule>
    <cfRule type="cellIs" dxfId="65" priority="15" operator="equal">
      <formula>"Partial"</formula>
    </cfRule>
    <cfRule type="cellIs" dxfId="64" priority="16" operator="equal">
      <formula>"No"</formula>
    </cfRule>
  </conditionalFormatting>
  <dataValidations count="2">
    <dataValidation type="list" allowBlank="1" showErrorMessage="1" errorTitle="Score out of range" error="Score each control 0 to 4, or N/A. See the scale on the Read Me tab." sqref="J5:J19" xr:uid="{00000000-0002-0000-0600-000000000000}">
      <formula1>"0,1,2,3,4,N/A"</formula1>
    </dataValidation>
    <dataValidation type="list" allowBlank="1" sqref="O5:O19" xr:uid="{00000000-0002-0000-0600-000001000000}">
      <formula1>"Yes,Partial,No"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Q50"/>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982</v>
      </c>
    </row>
    <row r="2" spans="1:17" ht="19" x14ac:dyDescent="0.25">
      <c r="A2" s="46" t="s">
        <v>983</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180</v>
      </c>
      <c r="B5" s="52"/>
      <c r="C5" s="53" t="s">
        <v>984</v>
      </c>
      <c r="D5" s="53"/>
      <c r="E5" s="53"/>
      <c r="F5" s="53"/>
      <c r="G5" s="53"/>
      <c r="H5" s="53"/>
      <c r="I5" s="53"/>
      <c r="J5" s="67">
        <f>IFERROR(ROUND(AVERAGE(J6:J10),1),"")</f>
        <v>1</v>
      </c>
      <c r="K5" s="68" t="str">
        <f>IF(COUNT(J6:J10)=0,IF(COUNTIF(J6:J10,"N/A")&gt;0,"all n/a","not scored"),COUNTIF(J6:J10,0)&amp;" gaps, "&amp;COUNTIFS(J6:J10,"&lt;3")&amp;" below 3")</f>
        <v>0 gaps, 5 below 3</v>
      </c>
      <c r="L5" s="53"/>
      <c r="M5" s="54"/>
      <c r="N5" s="53"/>
      <c r="O5" s="52" t="s">
        <v>452</v>
      </c>
      <c r="P5" s="53"/>
      <c r="Q5" s="53"/>
    </row>
    <row r="6" spans="1:17" ht="57.75" customHeight="1" outlineLevel="1" x14ac:dyDescent="0.2">
      <c r="A6" s="55" t="s">
        <v>985</v>
      </c>
      <c r="B6" s="56" t="s">
        <v>180</v>
      </c>
      <c r="C6" s="49" t="s">
        <v>986</v>
      </c>
      <c r="D6" s="57" t="s">
        <v>242</v>
      </c>
      <c r="E6" s="49" t="s">
        <v>258</v>
      </c>
      <c r="F6" s="49" t="s">
        <v>259</v>
      </c>
      <c r="G6" s="49" t="s">
        <v>987</v>
      </c>
      <c r="H6" s="49" t="s">
        <v>988</v>
      </c>
      <c r="I6" s="58" t="s">
        <v>989</v>
      </c>
      <c r="J6" s="69">
        <v>1</v>
      </c>
      <c r="K6" s="70" t="str">
        <f>IF(J6="","",IF(J6="N/A","Not applicable",CHOOSE(J6+1,"Gap","Documented","Implemented","Evidenced","Automated")))</f>
        <v>Documented</v>
      </c>
      <c r="L6" s="57"/>
      <c r="M6" s="59"/>
      <c r="N6" s="49" t="s">
        <v>990</v>
      </c>
      <c r="O6" s="56" t="s">
        <v>281</v>
      </c>
      <c r="P6" s="49" t="s">
        <v>991</v>
      </c>
      <c r="Q6" s="49" t="s">
        <v>992</v>
      </c>
    </row>
    <row r="7" spans="1:17" ht="57.75" customHeight="1" outlineLevel="1" x14ac:dyDescent="0.2">
      <c r="A7" s="55" t="s">
        <v>993</v>
      </c>
      <c r="B7" s="56" t="s">
        <v>180</v>
      </c>
      <c r="C7" s="49" t="s">
        <v>994</v>
      </c>
      <c r="D7" s="57" t="s">
        <v>242</v>
      </c>
      <c r="E7" s="49" t="s">
        <v>258</v>
      </c>
      <c r="F7" s="49" t="s">
        <v>259</v>
      </c>
      <c r="G7" s="49" t="s">
        <v>995</v>
      </c>
      <c r="H7" s="49" t="s">
        <v>996</v>
      </c>
      <c r="I7" s="58" t="s">
        <v>997</v>
      </c>
      <c r="J7" s="69">
        <v>1</v>
      </c>
      <c r="K7" s="70" t="str">
        <f>IF(J7="","",IF(J7="N/A","Not applicable",CHOOSE(J7+1,"Gap","Documented","Implemented","Evidenced","Automated")))</f>
        <v>Documented</v>
      </c>
      <c r="L7" s="57"/>
      <c r="M7" s="59"/>
      <c r="N7" s="49" t="s">
        <v>998</v>
      </c>
      <c r="O7" s="56" t="s">
        <v>281</v>
      </c>
      <c r="P7" s="49" t="s">
        <v>999</v>
      </c>
      <c r="Q7" s="49" t="s">
        <v>1000</v>
      </c>
    </row>
    <row r="8" spans="1:17" ht="57.75" customHeight="1" outlineLevel="1" x14ac:dyDescent="0.2">
      <c r="A8" s="55" t="s">
        <v>1001</v>
      </c>
      <c r="B8" s="56" t="s">
        <v>180</v>
      </c>
      <c r="C8" s="49" t="s">
        <v>1002</v>
      </c>
      <c r="D8" s="57" t="s">
        <v>242</v>
      </c>
      <c r="E8" s="49" t="s">
        <v>258</v>
      </c>
      <c r="F8" s="49" t="s">
        <v>1003</v>
      </c>
      <c r="G8" s="49" t="s">
        <v>1004</v>
      </c>
      <c r="H8" s="49" t="s">
        <v>1005</v>
      </c>
      <c r="I8" s="58" t="s">
        <v>1006</v>
      </c>
      <c r="J8" s="69">
        <v>1</v>
      </c>
      <c r="K8" s="70" t="str">
        <f>IF(J8="","",IF(J8="N/A","Not applicable",CHOOSE(J8+1,"Gap","Documented","Implemented","Evidenced","Automated")))</f>
        <v>Documented</v>
      </c>
      <c r="L8" s="57"/>
      <c r="M8" s="59"/>
      <c r="N8" s="49" t="s">
        <v>1007</v>
      </c>
      <c r="O8" s="56" t="s">
        <v>281</v>
      </c>
      <c r="P8" s="49" t="s">
        <v>1008</v>
      </c>
      <c r="Q8" s="49" t="s">
        <v>1009</v>
      </c>
    </row>
    <row r="9" spans="1:17" ht="57.75" customHeight="1" outlineLevel="1" x14ac:dyDescent="0.2">
      <c r="A9" s="55" t="s">
        <v>1010</v>
      </c>
      <c r="B9" s="56" t="s">
        <v>180</v>
      </c>
      <c r="C9" s="49" t="s">
        <v>1011</v>
      </c>
      <c r="D9" s="57" t="s">
        <v>242</v>
      </c>
      <c r="E9" s="49" t="s">
        <v>258</v>
      </c>
      <c r="F9" s="49" t="s">
        <v>259</v>
      </c>
      <c r="G9" s="49" t="s">
        <v>1012</v>
      </c>
      <c r="H9" s="49" t="s">
        <v>1013</v>
      </c>
      <c r="I9" s="58" t="s">
        <v>1014</v>
      </c>
      <c r="J9" s="69">
        <v>1</v>
      </c>
      <c r="K9" s="70" t="str">
        <f>IF(J9="","",IF(J9="N/A","Not applicable",CHOOSE(J9+1,"Gap","Documented","Implemented","Evidenced","Automated")))</f>
        <v>Documented</v>
      </c>
      <c r="L9" s="57"/>
      <c r="M9" s="59"/>
      <c r="N9" s="49" t="s">
        <v>1015</v>
      </c>
      <c r="O9" s="56" t="s">
        <v>281</v>
      </c>
      <c r="P9" s="49" t="s">
        <v>1016</v>
      </c>
      <c r="Q9" s="49" t="s">
        <v>1017</v>
      </c>
    </row>
    <row r="10" spans="1:17" ht="57.75" customHeight="1" outlineLevel="1" x14ac:dyDescent="0.2">
      <c r="A10" s="55" t="s">
        <v>1018</v>
      </c>
      <c r="B10" s="56" t="s">
        <v>180</v>
      </c>
      <c r="C10" s="49" t="s">
        <v>1019</v>
      </c>
      <c r="D10" s="57" t="s">
        <v>242</v>
      </c>
      <c r="E10" s="49" t="s">
        <v>258</v>
      </c>
      <c r="F10" s="49" t="s">
        <v>1020</v>
      </c>
      <c r="G10" s="49" t="s">
        <v>1021</v>
      </c>
      <c r="H10" s="49" t="s">
        <v>1022</v>
      </c>
      <c r="I10" s="58" t="s">
        <v>1023</v>
      </c>
      <c r="J10" s="69">
        <v>1</v>
      </c>
      <c r="K10" s="70" t="str">
        <f>IF(J10="","",IF(J10="N/A","Not applicable",CHOOSE(J10+1,"Gap","Documented","Implemented","Evidenced","Automated")))</f>
        <v>Documented</v>
      </c>
      <c r="L10" s="57"/>
      <c r="M10" s="59"/>
      <c r="N10" s="49" t="s">
        <v>1024</v>
      </c>
      <c r="O10" s="56" t="s">
        <v>281</v>
      </c>
      <c r="P10" s="49" t="s">
        <v>1025</v>
      </c>
      <c r="Q10" s="49" t="s">
        <v>1026</v>
      </c>
    </row>
    <row r="11" spans="1:17" ht="19.5" customHeight="1" x14ac:dyDescent="0.2">
      <c r="A11" s="52" t="s">
        <v>181</v>
      </c>
      <c r="B11" s="52"/>
      <c r="C11" s="53" t="s">
        <v>1027</v>
      </c>
      <c r="D11" s="53"/>
      <c r="E11" s="53"/>
      <c r="F11" s="53"/>
      <c r="G11" s="53"/>
      <c r="H11" s="53"/>
      <c r="I11" s="53"/>
      <c r="J11" s="67">
        <f>IFERROR(ROUND(AVERAGE(J12:J15),1),"")</f>
        <v>1</v>
      </c>
      <c r="K11" s="68" t="str">
        <f>IF(COUNT(J12:J15)=0,IF(COUNTIF(J12:J15,"N/A")&gt;0,"all n/a","not scored"),COUNTIF(J12:J15,0)&amp;" gaps, "&amp;COUNTIFS(J12:J15,"&lt;3")&amp;" below 3")</f>
        <v>0 gaps, 4 below 3</v>
      </c>
      <c r="L11" s="53"/>
      <c r="M11" s="54"/>
      <c r="N11" s="53"/>
      <c r="O11" s="52" t="s">
        <v>911</v>
      </c>
      <c r="P11" s="53"/>
      <c r="Q11" s="53"/>
    </row>
    <row r="12" spans="1:17" ht="57.75" customHeight="1" outlineLevel="1" x14ac:dyDescent="0.2">
      <c r="A12" s="55" t="s">
        <v>1028</v>
      </c>
      <c r="B12" s="56" t="s">
        <v>181</v>
      </c>
      <c r="C12" s="49" t="s">
        <v>1029</v>
      </c>
      <c r="D12" s="57" t="s">
        <v>242</v>
      </c>
      <c r="E12" s="49" t="s">
        <v>1030</v>
      </c>
      <c r="F12" s="49" t="s">
        <v>244</v>
      </c>
      <c r="G12" s="49" t="s">
        <v>1031</v>
      </c>
      <c r="H12" s="49" t="s">
        <v>1032</v>
      </c>
      <c r="I12" s="58" t="s">
        <v>1033</v>
      </c>
      <c r="J12" s="69">
        <v>1</v>
      </c>
      <c r="K12" s="70" t="str">
        <f>IF(J12="","",IF(J12="N/A","Not applicable",CHOOSE(J12+1,"Gap","Documented","Implemented","Evidenced","Automated")))</f>
        <v>Documented</v>
      </c>
      <c r="L12" s="57"/>
      <c r="M12" s="59"/>
      <c r="N12" s="49" t="s">
        <v>1034</v>
      </c>
      <c r="O12" s="56" t="s">
        <v>281</v>
      </c>
      <c r="P12" s="49" t="s">
        <v>1035</v>
      </c>
      <c r="Q12" s="49" t="s">
        <v>1036</v>
      </c>
    </row>
    <row r="13" spans="1:17" ht="57.75" customHeight="1" outlineLevel="1" x14ac:dyDescent="0.2">
      <c r="A13" s="55" t="s">
        <v>1037</v>
      </c>
      <c r="B13" s="56" t="s">
        <v>181</v>
      </c>
      <c r="C13" s="49" t="s">
        <v>1038</v>
      </c>
      <c r="D13" s="57" t="s">
        <v>242</v>
      </c>
      <c r="E13" s="49" t="s">
        <v>375</v>
      </c>
      <c r="F13" s="49" t="s">
        <v>244</v>
      </c>
      <c r="G13" s="49" t="s">
        <v>1039</v>
      </c>
      <c r="H13" s="49" t="s">
        <v>1040</v>
      </c>
      <c r="I13" s="58" t="s">
        <v>1041</v>
      </c>
      <c r="J13" s="69">
        <v>1</v>
      </c>
      <c r="K13" s="70" t="str">
        <f>IF(J13="","",IF(J13="N/A","Not applicable",CHOOSE(J13+1,"Gap","Documented","Implemented","Evidenced","Automated")))</f>
        <v>Documented</v>
      </c>
      <c r="L13" s="57"/>
      <c r="M13" s="59"/>
      <c r="N13" s="49" t="s">
        <v>1042</v>
      </c>
      <c r="O13" s="56" t="s">
        <v>281</v>
      </c>
      <c r="P13" s="49" t="s">
        <v>1043</v>
      </c>
      <c r="Q13" s="49" t="s">
        <v>1044</v>
      </c>
    </row>
    <row r="14" spans="1:17" ht="57.75" customHeight="1" outlineLevel="1" x14ac:dyDescent="0.2">
      <c r="A14" s="55" t="s">
        <v>1045</v>
      </c>
      <c r="B14" s="56" t="s">
        <v>181</v>
      </c>
      <c r="C14" s="49" t="s">
        <v>1046</v>
      </c>
      <c r="D14" s="57" t="s">
        <v>242</v>
      </c>
      <c r="E14" s="49" t="s">
        <v>1047</v>
      </c>
      <c r="F14" s="49" t="s">
        <v>259</v>
      </c>
      <c r="G14" s="49" t="s">
        <v>1048</v>
      </c>
      <c r="H14" s="49" t="s">
        <v>1049</v>
      </c>
      <c r="I14" s="58" t="s">
        <v>1050</v>
      </c>
      <c r="J14" s="69">
        <v>1</v>
      </c>
      <c r="K14" s="70" t="str">
        <f>IF(J14="","",IF(J14="N/A","Not applicable",CHOOSE(J14+1,"Gap","Documented","Implemented","Evidenced","Automated")))</f>
        <v>Documented</v>
      </c>
      <c r="L14" s="57"/>
      <c r="M14" s="59"/>
      <c r="N14" s="49" t="s">
        <v>1051</v>
      </c>
      <c r="O14" s="56" t="s">
        <v>281</v>
      </c>
      <c r="P14" s="49" t="s">
        <v>1052</v>
      </c>
      <c r="Q14" s="49" t="s">
        <v>1053</v>
      </c>
    </row>
    <row r="15" spans="1:17" ht="57.75" customHeight="1" outlineLevel="1" x14ac:dyDescent="0.2">
      <c r="A15" s="55" t="s">
        <v>1054</v>
      </c>
      <c r="B15" s="56" t="s">
        <v>181</v>
      </c>
      <c r="C15" s="49" t="s">
        <v>1055</v>
      </c>
      <c r="D15" s="57" t="s">
        <v>242</v>
      </c>
      <c r="E15" s="49" t="s">
        <v>258</v>
      </c>
      <c r="F15" s="49" t="s">
        <v>1056</v>
      </c>
      <c r="G15" s="49" t="s">
        <v>1057</v>
      </c>
      <c r="H15" s="49" t="s">
        <v>1058</v>
      </c>
      <c r="I15" s="58" t="s">
        <v>1059</v>
      </c>
      <c r="J15" s="69">
        <v>1</v>
      </c>
      <c r="K15" s="70" t="str">
        <f>IF(J15="","",IF(J15="N/A","Not applicable",CHOOSE(J15+1,"Gap","Documented","Implemented","Evidenced","Automated")))</f>
        <v>Documented</v>
      </c>
      <c r="L15" s="57"/>
      <c r="M15" s="59"/>
      <c r="N15" s="49" t="s">
        <v>1060</v>
      </c>
      <c r="O15" s="56" t="s">
        <v>281</v>
      </c>
      <c r="P15" s="49" t="s">
        <v>1061</v>
      </c>
      <c r="Q15" s="49" t="s">
        <v>1062</v>
      </c>
    </row>
    <row r="16" spans="1:17" ht="19.5" customHeight="1" x14ac:dyDescent="0.2">
      <c r="A16" s="52" t="s">
        <v>182</v>
      </c>
      <c r="B16" s="52"/>
      <c r="C16" s="53" t="s">
        <v>1063</v>
      </c>
      <c r="D16" s="53"/>
      <c r="E16" s="53"/>
      <c r="F16" s="53"/>
      <c r="G16" s="53"/>
      <c r="H16" s="53"/>
      <c r="I16" s="53"/>
      <c r="J16" s="67">
        <f>IFERROR(ROUND(AVERAGE(J17:J21),1),"")</f>
        <v>1</v>
      </c>
      <c r="K16" s="68" t="str">
        <f>IF(COUNT(J17:J21)=0,IF(COUNTIF(J17:J21,"N/A")&gt;0,"all n/a","not scored"),COUNTIF(J17:J21,0)&amp;" gaps, "&amp;COUNTIFS(J17:J21,"&lt;3")&amp;" below 3")</f>
        <v>0 gaps, 5 below 3</v>
      </c>
      <c r="L16" s="53"/>
      <c r="M16" s="54"/>
      <c r="N16" s="53"/>
      <c r="O16" s="52" t="s">
        <v>452</v>
      </c>
      <c r="P16" s="53"/>
      <c r="Q16" s="53"/>
    </row>
    <row r="17" spans="1:17" ht="57.75" customHeight="1" outlineLevel="1" x14ac:dyDescent="0.2">
      <c r="A17" s="55" t="s">
        <v>1064</v>
      </c>
      <c r="B17" s="56" t="s">
        <v>182</v>
      </c>
      <c r="C17" s="49" t="s">
        <v>1065</v>
      </c>
      <c r="D17" s="57" t="s">
        <v>242</v>
      </c>
      <c r="E17" s="49" t="s">
        <v>421</v>
      </c>
      <c r="F17" s="49" t="s">
        <v>244</v>
      </c>
      <c r="G17" s="49" t="s">
        <v>1066</v>
      </c>
      <c r="H17" s="49" t="s">
        <v>1067</v>
      </c>
      <c r="I17" s="58" t="s">
        <v>1068</v>
      </c>
      <c r="J17" s="69">
        <v>1</v>
      </c>
      <c r="K17" s="70" t="str">
        <f>IF(J17="","",IF(J17="N/A","Not applicable",CHOOSE(J17+1,"Gap","Documented","Implemented","Evidenced","Automated")))</f>
        <v>Documented</v>
      </c>
      <c r="L17" s="57"/>
      <c r="M17" s="59"/>
      <c r="N17" s="49" t="s">
        <v>777</v>
      </c>
      <c r="O17" s="56" t="s">
        <v>281</v>
      </c>
      <c r="P17" s="49" t="s">
        <v>1069</v>
      </c>
      <c r="Q17" s="49" t="s">
        <v>1070</v>
      </c>
    </row>
    <row r="18" spans="1:17" ht="57.75" customHeight="1" outlineLevel="1" x14ac:dyDescent="0.2">
      <c r="A18" s="55" t="s">
        <v>1071</v>
      </c>
      <c r="B18" s="56" t="s">
        <v>182</v>
      </c>
      <c r="C18" s="49" t="s">
        <v>1072</v>
      </c>
      <c r="D18" s="57" t="s">
        <v>242</v>
      </c>
      <c r="E18" s="49" t="s">
        <v>421</v>
      </c>
      <c r="F18" s="49" t="s">
        <v>1073</v>
      </c>
      <c r="G18" s="49" t="s">
        <v>1074</v>
      </c>
      <c r="H18" s="49" t="s">
        <v>1075</v>
      </c>
      <c r="I18" s="58" t="s">
        <v>1076</v>
      </c>
      <c r="J18" s="69">
        <v>1</v>
      </c>
      <c r="K18" s="70" t="str">
        <f>IF(J18="","",IF(J18="N/A","Not applicable",CHOOSE(J18+1,"Gap","Documented","Implemented","Evidenced","Automated")))</f>
        <v>Documented</v>
      </c>
      <c r="L18" s="57"/>
      <c r="M18" s="59"/>
      <c r="N18" s="49" t="s">
        <v>1077</v>
      </c>
      <c r="O18" s="56" t="s">
        <v>281</v>
      </c>
      <c r="P18" s="49" t="s">
        <v>1078</v>
      </c>
      <c r="Q18" s="49" t="s">
        <v>1079</v>
      </c>
    </row>
    <row r="19" spans="1:17" ht="57.75" customHeight="1" outlineLevel="1" x14ac:dyDescent="0.2">
      <c r="A19" s="55" t="s">
        <v>1080</v>
      </c>
      <c r="B19" s="56" t="s">
        <v>182</v>
      </c>
      <c r="C19" s="49" t="s">
        <v>1081</v>
      </c>
      <c r="D19" s="57" t="s">
        <v>242</v>
      </c>
      <c r="E19" s="49" t="s">
        <v>1082</v>
      </c>
      <c r="F19" s="49" t="s">
        <v>1003</v>
      </c>
      <c r="G19" s="49" t="s">
        <v>1083</v>
      </c>
      <c r="H19" s="49" t="s">
        <v>1084</v>
      </c>
      <c r="I19" s="58" t="s">
        <v>1085</v>
      </c>
      <c r="J19" s="69">
        <v>1</v>
      </c>
      <c r="K19" s="70" t="str">
        <f>IF(J19="","",IF(J19="N/A","Not applicable",CHOOSE(J19+1,"Gap","Documented","Implemented","Evidenced","Automated")))</f>
        <v>Documented</v>
      </c>
      <c r="L19" s="57"/>
      <c r="M19" s="59"/>
      <c r="N19" s="49" t="s">
        <v>1086</v>
      </c>
      <c r="O19" s="56" t="s">
        <v>281</v>
      </c>
      <c r="P19" s="49" t="s">
        <v>1087</v>
      </c>
      <c r="Q19" s="49" t="s">
        <v>1088</v>
      </c>
    </row>
    <row r="20" spans="1:17" ht="57.75" customHeight="1" outlineLevel="1" x14ac:dyDescent="0.2">
      <c r="A20" s="55" t="s">
        <v>1089</v>
      </c>
      <c r="B20" s="56" t="s">
        <v>182</v>
      </c>
      <c r="C20" s="49" t="s">
        <v>1090</v>
      </c>
      <c r="D20" s="57" t="s">
        <v>242</v>
      </c>
      <c r="E20" s="49" t="s">
        <v>1091</v>
      </c>
      <c r="F20" s="49" t="s">
        <v>244</v>
      </c>
      <c r="G20" s="49" t="s">
        <v>1092</v>
      </c>
      <c r="H20" s="49" t="s">
        <v>1093</v>
      </c>
      <c r="I20" s="58" t="s">
        <v>1094</v>
      </c>
      <c r="J20" s="69">
        <v>1</v>
      </c>
      <c r="K20" s="70" t="str">
        <f>IF(J20="","",IF(J20="N/A","Not applicable",CHOOSE(J20+1,"Gap","Documented","Implemented","Evidenced","Automated")))</f>
        <v>Documented</v>
      </c>
      <c r="L20" s="57"/>
      <c r="M20" s="59"/>
      <c r="N20" s="49" t="s">
        <v>1095</v>
      </c>
      <c r="O20" s="56" t="s">
        <v>281</v>
      </c>
      <c r="P20" s="49" t="s">
        <v>1096</v>
      </c>
      <c r="Q20" s="49" t="s">
        <v>1097</v>
      </c>
    </row>
    <row r="21" spans="1:17" ht="57.75" customHeight="1" outlineLevel="1" x14ac:dyDescent="0.2">
      <c r="A21" s="55" t="s">
        <v>1098</v>
      </c>
      <c r="B21" s="56" t="s">
        <v>182</v>
      </c>
      <c r="C21" s="49" t="s">
        <v>1099</v>
      </c>
      <c r="D21" s="57" t="s">
        <v>242</v>
      </c>
      <c r="E21" s="49" t="s">
        <v>401</v>
      </c>
      <c r="F21" s="49" t="s">
        <v>1100</v>
      </c>
      <c r="G21" s="49" t="s">
        <v>1101</v>
      </c>
      <c r="H21" s="49" t="s">
        <v>1102</v>
      </c>
      <c r="I21" s="58" t="s">
        <v>1103</v>
      </c>
      <c r="J21" s="69">
        <v>1</v>
      </c>
      <c r="K21" s="70" t="str">
        <f>IF(J21="","",IF(J21="N/A","Not applicable",CHOOSE(J21+1,"Gap","Documented","Implemented","Evidenced","Automated")))</f>
        <v>Documented</v>
      </c>
      <c r="L21" s="57"/>
      <c r="M21" s="59"/>
      <c r="N21" s="49" t="s">
        <v>1104</v>
      </c>
      <c r="O21" s="56" t="s">
        <v>281</v>
      </c>
      <c r="P21" s="49" t="s">
        <v>1105</v>
      </c>
      <c r="Q21" s="49" t="s">
        <v>1106</v>
      </c>
    </row>
    <row r="22" spans="1:17" ht="19.5" customHeight="1" x14ac:dyDescent="0.2">
      <c r="A22" s="52" t="s">
        <v>183</v>
      </c>
      <c r="B22" s="52"/>
      <c r="C22" s="53" t="s">
        <v>1107</v>
      </c>
      <c r="D22" s="53"/>
      <c r="E22" s="53"/>
      <c r="F22" s="53"/>
      <c r="G22" s="53"/>
      <c r="H22" s="53"/>
      <c r="I22" s="53"/>
      <c r="J22" s="67">
        <f>IFERROR(ROUND(AVERAGE(J23:J26),1),"")</f>
        <v>1</v>
      </c>
      <c r="K22" s="68" t="str">
        <f>IF(COUNT(J23:J26)=0,IF(COUNTIF(J23:J26,"N/A")&gt;0,"all n/a","not scored"),COUNTIF(J23:J26,0)&amp;" gaps, "&amp;COUNTIFS(J23:J26,"&lt;3")&amp;" below 3")</f>
        <v>0 gaps, 4 below 3</v>
      </c>
      <c r="L22" s="53"/>
      <c r="M22" s="54"/>
      <c r="N22" s="53"/>
      <c r="O22" s="52" t="s">
        <v>911</v>
      </c>
      <c r="P22" s="53"/>
      <c r="Q22" s="53"/>
    </row>
    <row r="23" spans="1:17" ht="57.75" customHeight="1" outlineLevel="1" x14ac:dyDescent="0.2">
      <c r="A23" s="55" t="s">
        <v>1108</v>
      </c>
      <c r="B23" s="56" t="s">
        <v>183</v>
      </c>
      <c r="C23" s="49" t="s">
        <v>1109</v>
      </c>
      <c r="D23" s="57" t="s">
        <v>233</v>
      </c>
      <c r="E23" s="49" t="s">
        <v>234</v>
      </c>
      <c r="F23" s="49" t="s">
        <v>296</v>
      </c>
      <c r="G23" s="49" t="s">
        <v>1110</v>
      </c>
      <c r="H23" s="49" t="s">
        <v>1111</v>
      </c>
      <c r="I23" s="58" t="s">
        <v>1112</v>
      </c>
      <c r="J23" s="69">
        <v>1</v>
      </c>
      <c r="K23" s="70" t="str">
        <f>IF(J23="","",IF(J23="N/A","Not applicable",CHOOSE(J23+1,"Gap","Documented","Implemented","Evidenced","Automated")))</f>
        <v>Documented</v>
      </c>
      <c r="L23" s="57"/>
      <c r="M23" s="59"/>
      <c r="N23" s="49" t="s">
        <v>1113</v>
      </c>
      <c r="O23" s="56" t="s">
        <v>281</v>
      </c>
      <c r="P23" s="49" t="s">
        <v>1114</v>
      </c>
      <c r="Q23" s="49" t="s">
        <v>1115</v>
      </c>
    </row>
    <row r="24" spans="1:17" ht="57.75" customHeight="1" outlineLevel="1" x14ac:dyDescent="0.2">
      <c r="A24" s="55" t="s">
        <v>1116</v>
      </c>
      <c r="B24" s="56" t="s">
        <v>183</v>
      </c>
      <c r="C24" s="49" t="s">
        <v>1117</v>
      </c>
      <c r="D24" s="57" t="s">
        <v>242</v>
      </c>
      <c r="E24" s="49" t="s">
        <v>234</v>
      </c>
      <c r="F24" s="49" t="s">
        <v>296</v>
      </c>
      <c r="G24" s="49" t="s">
        <v>1118</v>
      </c>
      <c r="H24" s="49" t="s">
        <v>1119</v>
      </c>
      <c r="I24" s="58" t="s">
        <v>1120</v>
      </c>
      <c r="J24" s="69">
        <v>1</v>
      </c>
      <c r="K24" s="70" t="str">
        <f>IF(J24="","",IF(J24="N/A","Not applicable",CHOOSE(J24+1,"Gap","Documented","Implemented","Evidenced","Automated")))</f>
        <v>Documented</v>
      </c>
      <c r="L24" s="57"/>
      <c r="M24" s="59"/>
      <c r="N24" s="49" t="s">
        <v>1121</v>
      </c>
      <c r="O24" s="56" t="s">
        <v>281</v>
      </c>
      <c r="P24" s="49" t="s">
        <v>1122</v>
      </c>
      <c r="Q24" s="49" t="s">
        <v>1123</v>
      </c>
    </row>
    <row r="25" spans="1:17" ht="57.75" customHeight="1" outlineLevel="1" x14ac:dyDescent="0.2">
      <c r="A25" s="55" t="s">
        <v>1124</v>
      </c>
      <c r="B25" s="56" t="s">
        <v>183</v>
      </c>
      <c r="C25" s="49" t="s">
        <v>1125</v>
      </c>
      <c r="D25" s="57" t="s">
        <v>242</v>
      </c>
      <c r="E25" s="49" t="s">
        <v>1126</v>
      </c>
      <c r="F25" s="49" t="s">
        <v>1020</v>
      </c>
      <c r="G25" s="49" t="s">
        <v>1127</v>
      </c>
      <c r="H25" s="49" t="s">
        <v>1128</v>
      </c>
      <c r="I25" s="58" t="s">
        <v>1129</v>
      </c>
      <c r="J25" s="69">
        <v>1</v>
      </c>
      <c r="K25" s="70" t="str">
        <f>IF(J25="","",IF(J25="N/A","Not applicable",CHOOSE(J25+1,"Gap","Documented","Implemented","Evidenced","Automated")))</f>
        <v>Documented</v>
      </c>
      <c r="L25" s="57"/>
      <c r="M25" s="59"/>
      <c r="N25" s="49" t="s">
        <v>1130</v>
      </c>
      <c r="O25" s="56" t="s">
        <v>281</v>
      </c>
      <c r="P25" s="49" t="s">
        <v>1131</v>
      </c>
      <c r="Q25" s="49" t="s">
        <v>1132</v>
      </c>
    </row>
    <row r="26" spans="1:17" ht="57.75" customHeight="1" outlineLevel="1" x14ac:dyDescent="0.2">
      <c r="A26" s="55" t="s">
        <v>1133</v>
      </c>
      <c r="B26" s="56" t="s">
        <v>183</v>
      </c>
      <c r="C26" s="49" t="s">
        <v>1134</v>
      </c>
      <c r="D26" s="57" t="s">
        <v>242</v>
      </c>
      <c r="E26" s="49" t="s">
        <v>401</v>
      </c>
      <c r="F26" s="49" t="s">
        <v>1100</v>
      </c>
      <c r="G26" s="49" t="s">
        <v>1135</v>
      </c>
      <c r="H26" s="49" t="s">
        <v>1136</v>
      </c>
      <c r="I26" s="58" t="s">
        <v>1137</v>
      </c>
      <c r="J26" s="69">
        <v>1</v>
      </c>
      <c r="K26" s="70" t="str">
        <f>IF(J26="","",IF(J26="N/A","Not applicable",CHOOSE(J26+1,"Gap","Documented","Implemented","Evidenced","Automated")))</f>
        <v>Documented</v>
      </c>
      <c r="L26" s="57"/>
      <c r="M26" s="59"/>
      <c r="N26" s="49" t="s">
        <v>1138</v>
      </c>
      <c r="O26" s="56" t="s">
        <v>281</v>
      </c>
      <c r="P26" s="49" t="s">
        <v>1139</v>
      </c>
      <c r="Q26" s="49" t="s">
        <v>1140</v>
      </c>
    </row>
    <row r="27" spans="1:17" ht="19.5" customHeight="1" x14ac:dyDescent="0.2">
      <c r="A27" s="52" t="s">
        <v>184</v>
      </c>
      <c r="B27" s="52"/>
      <c r="C27" s="53" t="s">
        <v>1141</v>
      </c>
      <c r="D27" s="53"/>
      <c r="E27" s="53"/>
      <c r="F27" s="53"/>
      <c r="G27" s="53"/>
      <c r="H27" s="53"/>
      <c r="I27" s="53"/>
      <c r="J27" s="67">
        <f>IFERROR(ROUND(AVERAGE(J28:J30),1),"")</f>
        <v>1</v>
      </c>
      <c r="K27" s="68" t="str">
        <f>IF(COUNT(J28:J30)=0,IF(COUNTIF(J28:J30,"N/A")&gt;0,"all n/a","not scored"),COUNTIF(J28:J30,0)&amp;" gaps, "&amp;COUNTIFS(J28:J30,"&lt;3")&amp;" below 3")</f>
        <v>0 gaps, 3 below 3</v>
      </c>
      <c r="L27" s="53"/>
      <c r="M27" s="54"/>
      <c r="N27" s="53"/>
      <c r="O27" s="52" t="s">
        <v>1142</v>
      </c>
      <c r="P27" s="53"/>
      <c r="Q27" s="53"/>
    </row>
    <row r="28" spans="1:17" ht="57.75" customHeight="1" outlineLevel="1" x14ac:dyDescent="0.2">
      <c r="A28" s="55" t="s">
        <v>1143</v>
      </c>
      <c r="B28" s="56" t="s">
        <v>184</v>
      </c>
      <c r="C28" s="49" t="s">
        <v>1144</v>
      </c>
      <c r="D28" s="57" t="s">
        <v>242</v>
      </c>
      <c r="E28" s="49" t="s">
        <v>1145</v>
      </c>
      <c r="F28" s="49" t="s">
        <v>296</v>
      </c>
      <c r="G28" s="49" t="s">
        <v>1146</v>
      </c>
      <c r="H28" s="49" t="s">
        <v>1147</v>
      </c>
      <c r="I28" s="58" t="s">
        <v>1148</v>
      </c>
      <c r="J28" s="69">
        <v>1</v>
      </c>
      <c r="K28" s="70" t="str">
        <f>IF(J28="","",IF(J28="N/A","Not applicable",CHOOSE(J28+1,"Gap","Documented","Implemented","Evidenced","Automated")))</f>
        <v>Documented</v>
      </c>
      <c r="L28" s="57"/>
      <c r="M28" s="59"/>
      <c r="N28" s="49" t="s">
        <v>1149</v>
      </c>
      <c r="O28" s="56" t="s">
        <v>281</v>
      </c>
      <c r="P28" s="49" t="s">
        <v>1150</v>
      </c>
      <c r="Q28" s="49" t="s">
        <v>1151</v>
      </c>
    </row>
    <row r="29" spans="1:17" ht="57.75" customHeight="1" outlineLevel="1" x14ac:dyDescent="0.2">
      <c r="A29" s="55" t="s">
        <v>1152</v>
      </c>
      <c r="B29" s="56" t="s">
        <v>184</v>
      </c>
      <c r="C29" s="49" t="s">
        <v>1153</v>
      </c>
      <c r="D29" s="57" t="s">
        <v>242</v>
      </c>
      <c r="E29" s="49" t="s">
        <v>1145</v>
      </c>
      <c r="F29" s="49" t="s">
        <v>296</v>
      </c>
      <c r="G29" s="49" t="s">
        <v>1154</v>
      </c>
      <c r="H29" s="49" t="s">
        <v>1155</v>
      </c>
      <c r="I29" s="58" t="s">
        <v>1156</v>
      </c>
      <c r="J29" s="69">
        <v>1</v>
      </c>
      <c r="K29" s="70" t="str">
        <f>IF(J29="","",IF(J29="N/A","Not applicable",CHOOSE(J29+1,"Gap","Documented","Implemented","Evidenced","Automated")))</f>
        <v>Documented</v>
      </c>
      <c r="L29" s="57"/>
      <c r="M29" s="59"/>
      <c r="N29" s="49" t="s">
        <v>1157</v>
      </c>
      <c r="O29" s="56" t="s">
        <v>281</v>
      </c>
      <c r="P29" s="49" t="s">
        <v>1158</v>
      </c>
      <c r="Q29" s="49" t="s">
        <v>1159</v>
      </c>
    </row>
    <row r="30" spans="1:17" ht="57.75" customHeight="1" outlineLevel="1" x14ac:dyDescent="0.2">
      <c r="A30" s="55" t="s">
        <v>1160</v>
      </c>
      <c r="B30" s="56" t="s">
        <v>184</v>
      </c>
      <c r="C30" s="49" t="s">
        <v>1161</v>
      </c>
      <c r="D30" s="57" t="s">
        <v>242</v>
      </c>
      <c r="E30" s="49" t="s">
        <v>258</v>
      </c>
      <c r="F30" s="49" t="s">
        <v>296</v>
      </c>
      <c r="G30" s="49" t="s">
        <v>1162</v>
      </c>
      <c r="H30" s="49" t="s">
        <v>1163</v>
      </c>
      <c r="I30" s="58" t="s">
        <v>1164</v>
      </c>
      <c r="J30" s="69">
        <v>1</v>
      </c>
      <c r="K30" s="70" t="str">
        <f>IF(J30="","",IF(J30="N/A","Not applicable",CHOOSE(J30+1,"Gap","Documented","Implemented","Evidenced","Automated")))</f>
        <v>Documented</v>
      </c>
      <c r="L30" s="57"/>
      <c r="M30" s="59"/>
      <c r="N30" s="49" t="s">
        <v>1165</v>
      </c>
      <c r="O30" s="56" t="s">
        <v>281</v>
      </c>
      <c r="P30" s="49" t="s">
        <v>1166</v>
      </c>
      <c r="Q30" s="49" t="s">
        <v>1167</v>
      </c>
    </row>
    <row r="31" spans="1:17" ht="19.5" customHeight="1" x14ac:dyDescent="0.2">
      <c r="A31" s="52" t="s">
        <v>185</v>
      </c>
      <c r="B31" s="52"/>
      <c r="C31" s="53" t="s">
        <v>1168</v>
      </c>
      <c r="D31" s="53"/>
      <c r="E31" s="53"/>
      <c r="F31" s="53"/>
      <c r="G31" s="53"/>
      <c r="H31" s="53"/>
      <c r="I31" s="53"/>
      <c r="J31" s="67">
        <f>IFERROR(ROUND(AVERAGE(J32:J35),1),"")</f>
        <v>0.8</v>
      </c>
      <c r="K31" s="68" t="str">
        <f>IF(COUNT(J32:J35)=0,IF(COUNTIF(J32:J35,"N/A")&gt;0,"all n/a","not scored"),COUNTIF(J32:J35,0)&amp;" gaps, "&amp;COUNTIFS(J32:J35,"&lt;3")&amp;" below 3")</f>
        <v>1 gaps, 4 below 3</v>
      </c>
      <c r="L31" s="53"/>
      <c r="M31" s="54"/>
      <c r="N31" s="53"/>
      <c r="O31" s="52" t="s">
        <v>686</v>
      </c>
      <c r="P31" s="53"/>
      <c r="Q31" s="53"/>
    </row>
    <row r="32" spans="1:17" ht="57.75" customHeight="1" outlineLevel="1" x14ac:dyDescent="0.2">
      <c r="A32" s="55" t="s">
        <v>1169</v>
      </c>
      <c r="B32" s="56" t="s">
        <v>185</v>
      </c>
      <c r="C32" s="49" t="s">
        <v>1170</v>
      </c>
      <c r="D32" s="57" t="s">
        <v>242</v>
      </c>
      <c r="E32" s="49" t="s">
        <v>258</v>
      </c>
      <c r="F32" s="49" t="s">
        <v>914</v>
      </c>
      <c r="G32" s="49" t="s">
        <v>1171</v>
      </c>
      <c r="H32" s="49" t="s">
        <v>1172</v>
      </c>
      <c r="I32" s="58" t="s">
        <v>1173</v>
      </c>
      <c r="J32" s="69">
        <v>1</v>
      </c>
      <c r="K32" s="70" t="str">
        <f>IF(J32="","",IF(J32="N/A","Not applicable",CHOOSE(J32+1,"Gap","Documented","Implemented","Evidenced","Automated")))</f>
        <v>Documented</v>
      </c>
      <c r="L32" s="57"/>
      <c r="M32" s="59"/>
      <c r="N32" s="49" t="s">
        <v>1174</v>
      </c>
      <c r="O32" s="56" t="s">
        <v>281</v>
      </c>
      <c r="P32" s="49" t="s">
        <v>1175</v>
      </c>
      <c r="Q32" s="49" t="s">
        <v>1176</v>
      </c>
    </row>
    <row r="33" spans="1:17" ht="57.75" customHeight="1" outlineLevel="1" x14ac:dyDescent="0.2">
      <c r="A33" s="55" t="s">
        <v>1177</v>
      </c>
      <c r="B33" s="56" t="s">
        <v>185</v>
      </c>
      <c r="C33" s="49" t="s">
        <v>1178</v>
      </c>
      <c r="D33" s="57" t="s">
        <v>242</v>
      </c>
      <c r="E33" s="49" t="s">
        <v>258</v>
      </c>
      <c r="F33" s="49" t="s">
        <v>914</v>
      </c>
      <c r="G33" s="49" t="s">
        <v>1179</v>
      </c>
      <c r="H33" s="49" t="s">
        <v>1180</v>
      </c>
      <c r="I33" s="58" t="s">
        <v>1181</v>
      </c>
      <c r="J33" s="69">
        <v>1</v>
      </c>
      <c r="K33" s="70" t="str">
        <f>IF(J33="","",IF(J33="N/A","Not applicable",CHOOSE(J33+1,"Gap","Documented","Implemented","Evidenced","Automated")))</f>
        <v>Documented</v>
      </c>
      <c r="L33" s="57"/>
      <c r="M33" s="59"/>
      <c r="N33" s="49" t="s">
        <v>1182</v>
      </c>
      <c r="O33" s="56" t="s">
        <v>281</v>
      </c>
      <c r="P33" s="49" t="s">
        <v>1183</v>
      </c>
      <c r="Q33" s="49" t="s">
        <v>1184</v>
      </c>
    </row>
    <row r="34" spans="1:17" ht="57.75" customHeight="1" outlineLevel="1" x14ac:dyDescent="0.2">
      <c r="A34" s="55" t="s">
        <v>91</v>
      </c>
      <c r="B34" s="56" t="s">
        <v>185</v>
      </c>
      <c r="C34" s="49" t="s">
        <v>92</v>
      </c>
      <c r="D34" s="57" t="s">
        <v>242</v>
      </c>
      <c r="E34" s="49" t="s">
        <v>1185</v>
      </c>
      <c r="F34" s="49" t="s">
        <v>287</v>
      </c>
      <c r="G34" s="49" t="s">
        <v>1186</v>
      </c>
      <c r="H34" s="49" t="s">
        <v>1187</v>
      </c>
      <c r="I34" s="58" t="s">
        <v>1188</v>
      </c>
      <c r="J34" s="69">
        <v>0</v>
      </c>
      <c r="K34" s="70" t="str">
        <f>IF(J34="","",IF(J34="N/A","Not applicable",CHOOSE(J34+1,"Gap","Documented","Implemented","Evidenced","Automated")))</f>
        <v>Gap</v>
      </c>
      <c r="L34" s="57"/>
      <c r="M34" s="59"/>
      <c r="N34" s="49" t="s">
        <v>1189</v>
      </c>
      <c r="O34" s="56" t="s">
        <v>35</v>
      </c>
      <c r="P34" s="49" t="s">
        <v>1190</v>
      </c>
      <c r="Q34" s="49" t="s">
        <v>1191</v>
      </c>
    </row>
    <row r="35" spans="1:17" ht="57.75" customHeight="1" outlineLevel="1" x14ac:dyDescent="0.2">
      <c r="A35" s="55" t="s">
        <v>1192</v>
      </c>
      <c r="B35" s="56" t="s">
        <v>185</v>
      </c>
      <c r="C35" s="49" t="s">
        <v>1193</v>
      </c>
      <c r="D35" s="57" t="s">
        <v>242</v>
      </c>
      <c r="E35" s="49" t="s">
        <v>421</v>
      </c>
      <c r="F35" s="49" t="s">
        <v>914</v>
      </c>
      <c r="G35" s="49" t="s">
        <v>1194</v>
      </c>
      <c r="H35" s="49" t="s">
        <v>1195</v>
      </c>
      <c r="I35" s="58" t="s">
        <v>1196</v>
      </c>
      <c r="J35" s="69">
        <v>1</v>
      </c>
      <c r="K35" s="70" t="str">
        <f>IF(J35="","",IF(J35="N/A","Not applicable",CHOOSE(J35+1,"Gap","Documented","Implemented","Evidenced","Automated")))</f>
        <v>Documented</v>
      </c>
      <c r="L35" s="57"/>
      <c r="M35" s="59"/>
      <c r="N35" s="49" t="s">
        <v>1197</v>
      </c>
      <c r="O35" s="56" t="s">
        <v>281</v>
      </c>
      <c r="P35" s="49" t="s">
        <v>1198</v>
      </c>
      <c r="Q35" s="49" t="s">
        <v>1199</v>
      </c>
    </row>
    <row r="36" spans="1:17" ht="19.5" customHeight="1" x14ac:dyDescent="0.2">
      <c r="A36" s="52" t="s">
        <v>186</v>
      </c>
      <c r="B36" s="52"/>
      <c r="C36" s="53" t="s">
        <v>1200</v>
      </c>
      <c r="D36" s="53"/>
      <c r="E36" s="53"/>
      <c r="F36" s="53"/>
      <c r="G36" s="53"/>
      <c r="H36" s="53"/>
      <c r="I36" s="53"/>
      <c r="J36" s="67">
        <f>IFERROR(ROUND(AVERAGE(J37:J40),1),"")</f>
        <v>1</v>
      </c>
      <c r="K36" s="68" t="str">
        <f>IF(COUNT(J37:J40)=0,IF(COUNTIF(J37:J40,"N/A")&gt;0,"all n/a","not scored"),COUNTIF(J37:J40,0)&amp;" gaps, "&amp;COUNTIFS(J37:J40,"&lt;3")&amp;" below 3")</f>
        <v>0 gaps, 4 below 3</v>
      </c>
      <c r="L36" s="53"/>
      <c r="M36" s="54"/>
      <c r="N36" s="53"/>
      <c r="O36" s="52" t="s">
        <v>911</v>
      </c>
      <c r="P36" s="53"/>
      <c r="Q36" s="53"/>
    </row>
    <row r="37" spans="1:17" ht="57.75" customHeight="1" outlineLevel="1" x14ac:dyDescent="0.2">
      <c r="A37" s="55" t="s">
        <v>1201</v>
      </c>
      <c r="B37" s="56" t="s">
        <v>186</v>
      </c>
      <c r="C37" s="49" t="s">
        <v>1202</v>
      </c>
      <c r="D37" s="57" t="s">
        <v>242</v>
      </c>
      <c r="E37" s="49" t="s">
        <v>258</v>
      </c>
      <c r="F37" s="49" t="s">
        <v>914</v>
      </c>
      <c r="G37" s="49" t="s">
        <v>1203</v>
      </c>
      <c r="H37" s="49" t="s">
        <v>1204</v>
      </c>
      <c r="I37" s="58" t="s">
        <v>1205</v>
      </c>
      <c r="J37" s="69">
        <v>1</v>
      </c>
      <c r="K37" s="70" t="str">
        <f>IF(J37="","",IF(J37="N/A","Not applicable",CHOOSE(J37+1,"Gap","Documented","Implemented","Evidenced","Automated")))</f>
        <v>Documented</v>
      </c>
      <c r="L37" s="57"/>
      <c r="M37" s="59"/>
      <c r="N37" s="49" t="s">
        <v>1206</v>
      </c>
      <c r="O37" s="56" t="s">
        <v>281</v>
      </c>
      <c r="P37" s="49" t="s">
        <v>1207</v>
      </c>
      <c r="Q37" s="49" t="s">
        <v>1208</v>
      </c>
    </row>
    <row r="38" spans="1:17" ht="57.75" customHeight="1" outlineLevel="1" x14ac:dyDescent="0.2">
      <c r="A38" s="55" t="s">
        <v>1209</v>
      </c>
      <c r="B38" s="56" t="s">
        <v>186</v>
      </c>
      <c r="C38" s="49" t="s">
        <v>1210</v>
      </c>
      <c r="D38" s="57" t="s">
        <v>242</v>
      </c>
      <c r="E38" s="49" t="s">
        <v>258</v>
      </c>
      <c r="F38" s="49" t="s">
        <v>914</v>
      </c>
      <c r="G38" s="49" t="s">
        <v>1211</v>
      </c>
      <c r="H38" s="49" t="s">
        <v>1212</v>
      </c>
      <c r="I38" s="58" t="s">
        <v>1213</v>
      </c>
      <c r="J38" s="69">
        <v>1</v>
      </c>
      <c r="K38" s="70" t="str">
        <f>IF(J38="","",IF(J38="N/A","Not applicable",CHOOSE(J38+1,"Gap","Documented","Implemented","Evidenced","Automated")))</f>
        <v>Documented</v>
      </c>
      <c r="L38" s="57"/>
      <c r="M38" s="59"/>
      <c r="N38" s="49" t="s">
        <v>1214</v>
      </c>
      <c r="O38" s="56" t="s">
        <v>281</v>
      </c>
      <c r="P38" s="49" t="s">
        <v>1215</v>
      </c>
      <c r="Q38" s="49" t="s">
        <v>1216</v>
      </c>
    </row>
    <row r="39" spans="1:17" ht="57.75" customHeight="1" outlineLevel="1" x14ac:dyDescent="0.2">
      <c r="A39" s="55" t="s">
        <v>1217</v>
      </c>
      <c r="B39" s="56" t="s">
        <v>186</v>
      </c>
      <c r="C39" s="49" t="s">
        <v>1218</v>
      </c>
      <c r="D39" s="57" t="s">
        <v>242</v>
      </c>
      <c r="E39" s="49" t="s">
        <v>258</v>
      </c>
      <c r="F39" s="49" t="s">
        <v>931</v>
      </c>
      <c r="G39" s="49" t="s">
        <v>1219</v>
      </c>
      <c r="H39" s="49" t="s">
        <v>1220</v>
      </c>
      <c r="I39" s="58" t="s">
        <v>1221</v>
      </c>
      <c r="J39" s="69">
        <v>1</v>
      </c>
      <c r="K39" s="70" t="str">
        <f>IF(J39="","",IF(J39="N/A","Not applicable",CHOOSE(J39+1,"Gap","Documented","Implemented","Evidenced","Automated")))</f>
        <v>Documented</v>
      </c>
      <c r="L39" s="57"/>
      <c r="M39" s="59"/>
      <c r="N39" s="49" t="s">
        <v>1222</v>
      </c>
      <c r="O39" s="56" t="s">
        <v>281</v>
      </c>
      <c r="P39" s="49" t="s">
        <v>1223</v>
      </c>
      <c r="Q39" s="49" t="s">
        <v>1224</v>
      </c>
    </row>
    <row r="40" spans="1:17" ht="57.75" customHeight="1" outlineLevel="1" x14ac:dyDescent="0.2">
      <c r="A40" s="55" t="s">
        <v>1225</v>
      </c>
      <c r="B40" s="56" t="s">
        <v>186</v>
      </c>
      <c r="C40" s="49" t="s">
        <v>1226</v>
      </c>
      <c r="D40" s="57" t="s">
        <v>242</v>
      </c>
      <c r="E40" s="49" t="s">
        <v>258</v>
      </c>
      <c r="F40" s="49" t="s">
        <v>1073</v>
      </c>
      <c r="G40" s="49" t="s">
        <v>1227</v>
      </c>
      <c r="H40" s="49" t="s">
        <v>1228</v>
      </c>
      <c r="I40" s="58" t="s">
        <v>1229</v>
      </c>
      <c r="J40" s="69">
        <v>1</v>
      </c>
      <c r="K40" s="70" t="str">
        <f>IF(J40="","",IF(J40="N/A","Not applicable",CHOOSE(J40+1,"Gap","Documented","Implemented","Evidenced","Automated")))</f>
        <v>Documented</v>
      </c>
      <c r="L40" s="57"/>
      <c r="M40" s="59"/>
      <c r="N40" s="49" t="s">
        <v>1230</v>
      </c>
      <c r="O40" s="56" t="s">
        <v>281</v>
      </c>
      <c r="P40" s="49" t="s">
        <v>1231</v>
      </c>
      <c r="Q40" s="49" t="s">
        <v>1232</v>
      </c>
    </row>
    <row r="41" spans="1:17" ht="19.5" customHeight="1" x14ac:dyDescent="0.2">
      <c r="A41" s="52" t="s">
        <v>187</v>
      </c>
      <c r="B41" s="52"/>
      <c r="C41" s="53" t="s">
        <v>1233</v>
      </c>
      <c r="D41" s="53"/>
      <c r="E41" s="53"/>
      <c r="F41" s="53"/>
      <c r="G41" s="53"/>
      <c r="H41" s="53"/>
      <c r="I41" s="53"/>
      <c r="J41" s="67">
        <f>IFERROR(ROUND(AVERAGE(J42:J44),1),"")</f>
        <v>1</v>
      </c>
      <c r="K41" s="68" t="str">
        <f>IF(COUNT(J42:J44)=0,IF(COUNTIF(J42:J44,"N/A")&gt;0,"all n/a","not scored"),COUNTIF(J42:J44,0)&amp;" gaps, "&amp;COUNTIFS(J42:J44,"&lt;3")&amp;" below 3")</f>
        <v>0 gaps, 3 below 3</v>
      </c>
      <c r="L41" s="53"/>
      <c r="M41" s="54"/>
      <c r="N41" s="53"/>
      <c r="O41" s="52" t="s">
        <v>1142</v>
      </c>
      <c r="P41" s="53"/>
      <c r="Q41" s="53"/>
    </row>
    <row r="42" spans="1:17" ht="57.75" customHeight="1" outlineLevel="1" x14ac:dyDescent="0.2">
      <c r="A42" s="55" t="s">
        <v>1234</v>
      </c>
      <c r="B42" s="56" t="s">
        <v>187</v>
      </c>
      <c r="C42" s="49" t="s">
        <v>1235</v>
      </c>
      <c r="D42" s="57" t="s">
        <v>242</v>
      </c>
      <c r="E42" s="49" t="s">
        <v>421</v>
      </c>
      <c r="F42" s="49" t="s">
        <v>1020</v>
      </c>
      <c r="G42" s="49" t="s">
        <v>1236</v>
      </c>
      <c r="H42" s="49" t="s">
        <v>1237</v>
      </c>
      <c r="I42" s="58" t="s">
        <v>1238</v>
      </c>
      <c r="J42" s="69">
        <v>1</v>
      </c>
      <c r="K42" s="70" t="str">
        <f>IF(J42="","",IF(J42="N/A","Not applicable",CHOOSE(J42+1,"Gap","Documented","Implemented","Evidenced","Automated")))</f>
        <v>Documented</v>
      </c>
      <c r="L42" s="57"/>
      <c r="M42" s="59"/>
      <c r="N42" s="49" t="s">
        <v>1239</v>
      </c>
      <c r="O42" s="56" t="s">
        <v>281</v>
      </c>
      <c r="P42" s="49" t="s">
        <v>1240</v>
      </c>
      <c r="Q42" s="49" t="s">
        <v>1241</v>
      </c>
    </row>
    <row r="43" spans="1:17" ht="57.75" customHeight="1" outlineLevel="1" x14ac:dyDescent="0.2">
      <c r="A43" s="55" t="s">
        <v>1242</v>
      </c>
      <c r="B43" s="56" t="s">
        <v>187</v>
      </c>
      <c r="C43" s="49" t="s">
        <v>1243</v>
      </c>
      <c r="D43" s="57" t="s">
        <v>242</v>
      </c>
      <c r="E43" s="49" t="s">
        <v>258</v>
      </c>
      <c r="F43" s="49" t="s">
        <v>1020</v>
      </c>
      <c r="G43" s="49" t="s">
        <v>1244</v>
      </c>
      <c r="H43" s="49" t="s">
        <v>1245</v>
      </c>
      <c r="I43" s="58" t="s">
        <v>1246</v>
      </c>
      <c r="J43" s="69">
        <v>1</v>
      </c>
      <c r="K43" s="70" t="str">
        <f>IF(J43="","",IF(J43="N/A","Not applicable",CHOOSE(J43+1,"Gap","Documented","Implemented","Evidenced","Automated")))</f>
        <v>Documented</v>
      </c>
      <c r="L43" s="57"/>
      <c r="M43" s="59"/>
      <c r="N43" s="49" t="s">
        <v>1247</v>
      </c>
      <c r="O43" s="56" t="s">
        <v>281</v>
      </c>
      <c r="P43" s="49" t="s">
        <v>1248</v>
      </c>
      <c r="Q43" s="49" t="s">
        <v>1249</v>
      </c>
    </row>
    <row r="44" spans="1:17" ht="57.75" customHeight="1" outlineLevel="1" x14ac:dyDescent="0.2">
      <c r="A44" s="55" t="s">
        <v>1250</v>
      </c>
      <c r="B44" s="56" t="s">
        <v>187</v>
      </c>
      <c r="C44" s="49" t="s">
        <v>1251</v>
      </c>
      <c r="D44" s="57" t="s">
        <v>242</v>
      </c>
      <c r="E44" s="49" t="s">
        <v>421</v>
      </c>
      <c r="F44" s="49" t="s">
        <v>259</v>
      </c>
      <c r="G44" s="49" t="s">
        <v>1252</v>
      </c>
      <c r="H44" s="49" t="s">
        <v>1253</v>
      </c>
      <c r="I44" s="58" t="s">
        <v>1254</v>
      </c>
      <c r="J44" s="69">
        <v>1</v>
      </c>
      <c r="K44" s="70" t="str">
        <f>IF(J44="","",IF(J44="N/A","Not applicable",CHOOSE(J44+1,"Gap","Documented","Implemented","Evidenced","Automated")))</f>
        <v>Documented</v>
      </c>
      <c r="L44" s="57"/>
      <c r="M44" s="59"/>
      <c r="N44" s="49" t="s">
        <v>1255</v>
      </c>
      <c r="O44" s="56" t="s">
        <v>281</v>
      </c>
      <c r="P44" s="49" t="s">
        <v>1256</v>
      </c>
      <c r="Q44" s="49" t="s">
        <v>1257</v>
      </c>
    </row>
    <row r="46" spans="1:17" ht="120" customHeight="1" x14ac:dyDescent="0.25">
      <c r="A46" s="63" t="s">
        <v>441</v>
      </c>
      <c r="C46" s="64" t="s">
        <v>1258</v>
      </c>
    </row>
    <row r="47" spans="1:17" ht="150" customHeight="1" x14ac:dyDescent="0.25">
      <c r="A47" s="63" t="s">
        <v>443</v>
      </c>
      <c r="C47" s="64" t="s">
        <v>1259</v>
      </c>
    </row>
    <row r="48" spans="1:17" ht="100" customHeight="1" x14ac:dyDescent="0.25">
      <c r="A48" s="63" t="s">
        <v>445</v>
      </c>
      <c r="C48" s="64" t="s">
        <v>1260</v>
      </c>
    </row>
    <row r="50" spans="1:3" ht="220" customHeight="1" x14ac:dyDescent="0.25">
      <c r="A50" s="87" t="s">
        <v>447</v>
      </c>
      <c r="C50" s="88" t="s">
        <v>1261</v>
      </c>
    </row>
  </sheetData>
  <conditionalFormatting sqref="J5:J44">
    <cfRule type="cellIs" dxfId="63" priority="1" operator="equal">
      <formula>0</formula>
    </cfRule>
    <cfRule type="cellIs" dxfId="62" priority="3" operator="equal">
      <formula>1</formula>
    </cfRule>
    <cfRule type="cellIs" dxfId="61" priority="5" operator="equal">
      <formula>2</formula>
    </cfRule>
    <cfRule type="cellIs" dxfId="60" priority="7" operator="equal">
      <formula>3</formula>
    </cfRule>
    <cfRule type="cellIs" dxfId="59" priority="9" operator="equal">
      <formula>4</formula>
    </cfRule>
    <cfRule type="cellIs" dxfId="58" priority="11" operator="equal">
      <formula>"N/A"</formula>
    </cfRule>
  </conditionalFormatting>
  <conditionalFormatting sqref="K5:K44">
    <cfRule type="expression" dxfId="57" priority="2">
      <formula>$J5=0</formula>
    </cfRule>
    <cfRule type="expression" dxfId="56" priority="4">
      <formula>$J5=1</formula>
    </cfRule>
    <cfRule type="expression" dxfId="55" priority="6">
      <formula>$J5=2</formula>
    </cfRule>
    <cfRule type="expression" dxfId="54" priority="8">
      <formula>$J5=3</formula>
    </cfRule>
    <cfRule type="expression" dxfId="53" priority="10">
      <formula>$J5=4</formula>
    </cfRule>
    <cfRule type="expression" dxfId="52" priority="12">
      <formula>$J5="N/A"</formula>
    </cfRule>
  </conditionalFormatting>
  <conditionalFormatting sqref="L5:L44">
    <cfRule type="expression" dxfId="51" priority="13">
      <formula>AND($J5="N/A",$L5="")</formula>
    </cfRule>
  </conditionalFormatting>
  <conditionalFormatting sqref="O5:O44">
    <cfRule type="cellIs" dxfId="50" priority="14" operator="equal">
      <formula>"Yes"</formula>
    </cfRule>
    <cfRule type="cellIs" dxfId="49" priority="15" operator="equal">
      <formula>"Partial"</formula>
    </cfRule>
    <cfRule type="cellIs" dxfId="48" priority="16" operator="equal">
      <formula>"No"</formula>
    </cfRule>
  </conditionalFormatting>
  <dataValidations count="2">
    <dataValidation type="list" allowBlank="1" showErrorMessage="1" errorTitle="Score out of range" error="Score each control 0 to 4, or N/A. See the scale on the Read Me tab." sqref="J5:J44" xr:uid="{00000000-0002-0000-0700-000000000000}">
      <formula1>"0,1,2,3,4,N/A"</formula1>
    </dataValidation>
    <dataValidation type="list" allowBlank="1" sqref="O5:O44" xr:uid="{00000000-0002-0000-0700-000001000000}">
      <formula1>"Yes,Partial,No"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Q36"/>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1262</v>
      </c>
    </row>
    <row r="2" spans="1:17" ht="19" x14ac:dyDescent="0.25">
      <c r="A2" s="46" t="s">
        <v>1263</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189</v>
      </c>
      <c r="B5" s="52"/>
      <c r="C5" s="53" t="s">
        <v>1264</v>
      </c>
      <c r="D5" s="53"/>
      <c r="E5" s="53"/>
      <c r="F5" s="53"/>
      <c r="G5" s="53"/>
      <c r="H5" s="53"/>
      <c r="I5" s="53"/>
      <c r="J5" s="67">
        <f>IFERROR(ROUND(AVERAGE(J6:J9),1),"")</f>
        <v>1</v>
      </c>
      <c r="K5" s="68" t="str">
        <f>IF(COUNT(J6:J9)=0,IF(COUNTIF(J6:J9,"N/A")&gt;0,"all n/a","not scored"),COUNTIF(J6:J9,0)&amp;" gaps, "&amp;COUNTIFS(J6:J9,"&lt;3")&amp;" below 3")</f>
        <v>0 gaps, 4 below 3</v>
      </c>
      <c r="L5" s="53"/>
      <c r="M5" s="54"/>
      <c r="N5" s="53"/>
      <c r="O5" s="52" t="s">
        <v>911</v>
      </c>
      <c r="P5" s="53"/>
      <c r="Q5" s="53"/>
    </row>
    <row r="6" spans="1:17" ht="57.75" customHeight="1" outlineLevel="1" x14ac:dyDescent="0.2">
      <c r="A6" s="55" t="s">
        <v>1265</v>
      </c>
      <c r="B6" s="56" t="s">
        <v>189</v>
      </c>
      <c r="C6" s="49" t="s">
        <v>1266</v>
      </c>
      <c r="D6" s="57" t="s">
        <v>242</v>
      </c>
      <c r="E6" s="49" t="s">
        <v>258</v>
      </c>
      <c r="F6" s="49" t="s">
        <v>914</v>
      </c>
      <c r="G6" s="49" t="s">
        <v>1267</v>
      </c>
      <c r="H6" s="49" t="s">
        <v>1268</v>
      </c>
      <c r="I6" s="58" t="s">
        <v>1269</v>
      </c>
      <c r="J6" s="69">
        <v>1</v>
      </c>
      <c r="K6" s="70" t="str">
        <f>IF(J6="","",IF(J6="N/A","Not applicable",CHOOSE(J6+1,"Gap","Documented","Implemented","Evidenced","Automated")))</f>
        <v>Documented</v>
      </c>
      <c r="L6" s="57"/>
      <c r="M6" s="59"/>
      <c r="N6" s="49" t="s">
        <v>1270</v>
      </c>
      <c r="O6" s="56" t="s">
        <v>281</v>
      </c>
      <c r="P6" s="49" t="s">
        <v>1271</v>
      </c>
      <c r="Q6" s="49" t="s">
        <v>1272</v>
      </c>
    </row>
    <row r="7" spans="1:17" ht="57.75" customHeight="1" outlineLevel="1" x14ac:dyDescent="0.2">
      <c r="A7" s="55" t="s">
        <v>1273</v>
      </c>
      <c r="B7" s="56" t="s">
        <v>189</v>
      </c>
      <c r="C7" s="49" t="s">
        <v>1274</v>
      </c>
      <c r="D7" s="57" t="s">
        <v>242</v>
      </c>
      <c r="E7" s="49" t="s">
        <v>1275</v>
      </c>
      <c r="F7" s="49" t="s">
        <v>783</v>
      </c>
      <c r="G7" s="49" t="s">
        <v>1276</v>
      </c>
      <c r="H7" s="49" t="s">
        <v>1277</v>
      </c>
      <c r="I7" s="58" t="s">
        <v>1278</v>
      </c>
      <c r="J7" s="69">
        <v>1</v>
      </c>
      <c r="K7" s="70" t="str">
        <f>IF(J7="","",IF(J7="N/A","Not applicable",CHOOSE(J7+1,"Gap","Documented","Implemented","Evidenced","Automated")))</f>
        <v>Documented</v>
      </c>
      <c r="L7" s="57"/>
      <c r="M7" s="59"/>
      <c r="N7" s="49" t="s">
        <v>1279</v>
      </c>
      <c r="O7" s="56" t="s">
        <v>281</v>
      </c>
      <c r="P7" s="49" t="s">
        <v>1280</v>
      </c>
      <c r="Q7" s="49" t="s">
        <v>1281</v>
      </c>
    </row>
    <row r="8" spans="1:17" ht="57.75" customHeight="1" outlineLevel="1" x14ac:dyDescent="0.2">
      <c r="A8" s="55" t="s">
        <v>1282</v>
      </c>
      <c r="B8" s="56" t="s">
        <v>189</v>
      </c>
      <c r="C8" s="49" t="s">
        <v>1283</v>
      </c>
      <c r="D8" s="57" t="s">
        <v>242</v>
      </c>
      <c r="E8" s="49" t="s">
        <v>1284</v>
      </c>
      <c r="F8" s="49" t="s">
        <v>244</v>
      </c>
      <c r="G8" s="49" t="s">
        <v>1285</v>
      </c>
      <c r="H8" s="49" t="s">
        <v>1286</v>
      </c>
      <c r="I8" s="58" t="s">
        <v>1287</v>
      </c>
      <c r="J8" s="69">
        <v>1</v>
      </c>
      <c r="K8" s="70" t="str">
        <f>IF(J8="","",IF(J8="N/A","Not applicable",CHOOSE(J8+1,"Gap","Documented","Implemented","Evidenced","Automated")))</f>
        <v>Documented</v>
      </c>
      <c r="L8" s="57"/>
      <c r="M8" s="59"/>
      <c r="N8" s="49" t="s">
        <v>1288</v>
      </c>
      <c r="O8" s="56" t="s">
        <v>281</v>
      </c>
      <c r="P8" s="49" t="s">
        <v>1289</v>
      </c>
      <c r="Q8" s="49" t="s">
        <v>1290</v>
      </c>
    </row>
    <row r="9" spans="1:17" ht="57.75" customHeight="1" outlineLevel="1" x14ac:dyDescent="0.2">
      <c r="A9" s="55" t="s">
        <v>1291</v>
      </c>
      <c r="B9" s="56" t="s">
        <v>189</v>
      </c>
      <c r="C9" s="49" t="s">
        <v>1292</v>
      </c>
      <c r="D9" s="57" t="s">
        <v>242</v>
      </c>
      <c r="E9" s="49" t="s">
        <v>1293</v>
      </c>
      <c r="F9" s="49" t="s">
        <v>244</v>
      </c>
      <c r="G9" s="49" t="s">
        <v>1294</v>
      </c>
      <c r="H9" s="49" t="s">
        <v>1295</v>
      </c>
      <c r="I9" s="58" t="s">
        <v>1296</v>
      </c>
      <c r="J9" s="69">
        <v>1</v>
      </c>
      <c r="K9" s="70" t="str">
        <f>IF(J9="","",IF(J9="N/A","Not applicable",CHOOSE(J9+1,"Gap","Documented","Implemented","Evidenced","Automated")))</f>
        <v>Documented</v>
      </c>
      <c r="L9" s="57"/>
      <c r="M9" s="59"/>
      <c r="N9" s="49" t="s">
        <v>1297</v>
      </c>
      <c r="O9" s="56" t="s">
        <v>281</v>
      </c>
      <c r="P9" s="49" t="s">
        <v>1298</v>
      </c>
      <c r="Q9" s="49" t="s">
        <v>1299</v>
      </c>
    </row>
    <row r="10" spans="1:17" ht="19.5" customHeight="1" x14ac:dyDescent="0.2">
      <c r="A10" s="52" t="s">
        <v>190</v>
      </c>
      <c r="B10" s="52"/>
      <c r="C10" s="53" t="s">
        <v>1300</v>
      </c>
      <c r="D10" s="53"/>
      <c r="E10" s="53"/>
      <c r="F10" s="53"/>
      <c r="G10" s="53"/>
      <c r="H10" s="53"/>
      <c r="I10" s="53"/>
      <c r="J10" s="67">
        <f>IFERROR(ROUND(AVERAGE(J11:J14),1),"")</f>
        <v>1</v>
      </c>
      <c r="K10" s="68" t="str">
        <f>IF(COUNT(J11:J14)=0,IF(COUNTIF(J11:J14,"N/A")&gt;0,"all n/a","not scored"),COUNTIF(J11:J14,0)&amp;" gaps, "&amp;COUNTIFS(J11:J14,"&lt;3")&amp;" below 3")</f>
        <v>0 gaps, 4 below 3</v>
      </c>
      <c r="L10" s="53"/>
      <c r="M10" s="54"/>
      <c r="N10" s="53"/>
      <c r="O10" s="52" t="s">
        <v>911</v>
      </c>
      <c r="P10" s="53"/>
      <c r="Q10" s="53"/>
    </row>
    <row r="11" spans="1:17" ht="57.75" customHeight="1" outlineLevel="1" x14ac:dyDescent="0.2">
      <c r="A11" s="55" t="s">
        <v>1301</v>
      </c>
      <c r="B11" s="56" t="s">
        <v>190</v>
      </c>
      <c r="C11" s="49" t="s">
        <v>1302</v>
      </c>
      <c r="D11" s="57" t="s">
        <v>242</v>
      </c>
      <c r="E11" s="49" t="s">
        <v>258</v>
      </c>
      <c r="F11" s="49" t="s">
        <v>1073</v>
      </c>
      <c r="G11" s="49" t="s">
        <v>1303</v>
      </c>
      <c r="H11" s="49" t="s">
        <v>1304</v>
      </c>
      <c r="I11" s="58" t="s">
        <v>1305</v>
      </c>
      <c r="J11" s="69">
        <v>1</v>
      </c>
      <c r="K11" s="70" t="str">
        <f>IF(J11="","",IF(J11="N/A","Not applicable",CHOOSE(J11+1,"Gap","Documented","Implemented","Evidenced","Automated")))</f>
        <v>Documented</v>
      </c>
      <c r="L11" s="57"/>
      <c r="M11" s="59"/>
      <c r="N11" s="49" t="s">
        <v>1306</v>
      </c>
      <c r="O11" s="56" t="s">
        <v>281</v>
      </c>
      <c r="P11" s="49" t="s">
        <v>1307</v>
      </c>
      <c r="Q11" s="49" t="s">
        <v>1308</v>
      </c>
    </row>
    <row r="12" spans="1:17" ht="57.75" customHeight="1" outlineLevel="1" x14ac:dyDescent="0.2">
      <c r="A12" s="55" t="s">
        <v>1309</v>
      </c>
      <c r="B12" s="56" t="s">
        <v>190</v>
      </c>
      <c r="C12" s="49" t="s">
        <v>1310</v>
      </c>
      <c r="D12" s="57" t="s">
        <v>242</v>
      </c>
      <c r="E12" s="49" t="s">
        <v>258</v>
      </c>
      <c r="F12" s="49" t="s">
        <v>914</v>
      </c>
      <c r="G12" s="49" t="s">
        <v>1311</v>
      </c>
      <c r="H12" s="49" t="s">
        <v>1312</v>
      </c>
      <c r="I12" s="58" t="s">
        <v>1313</v>
      </c>
      <c r="J12" s="69">
        <v>1</v>
      </c>
      <c r="K12" s="70" t="str">
        <f>IF(J12="","",IF(J12="N/A","Not applicable",CHOOSE(J12+1,"Gap","Documented","Implemented","Evidenced","Automated")))</f>
        <v>Documented</v>
      </c>
      <c r="L12" s="57"/>
      <c r="M12" s="59"/>
      <c r="N12" s="49" t="s">
        <v>1314</v>
      </c>
      <c r="O12" s="56" t="s">
        <v>281</v>
      </c>
      <c r="P12" s="49" t="s">
        <v>1315</v>
      </c>
      <c r="Q12" s="49" t="s">
        <v>1316</v>
      </c>
    </row>
    <row r="13" spans="1:17" ht="57.75" customHeight="1" outlineLevel="1" x14ac:dyDescent="0.2">
      <c r="A13" s="55" t="s">
        <v>1317</v>
      </c>
      <c r="B13" s="56" t="s">
        <v>190</v>
      </c>
      <c r="C13" s="49" t="s">
        <v>1318</v>
      </c>
      <c r="D13" s="57" t="s">
        <v>242</v>
      </c>
      <c r="E13" s="49" t="s">
        <v>1126</v>
      </c>
      <c r="F13" s="49" t="s">
        <v>914</v>
      </c>
      <c r="G13" s="49" t="s">
        <v>1319</v>
      </c>
      <c r="H13" s="49" t="s">
        <v>1320</v>
      </c>
      <c r="I13" s="58" t="s">
        <v>1321</v>
      </c>
      <c r="J13" s="69">
        <v>1</v>
      </c>
      <c r="K13" s="70" t="str">
        <f>IF(J13="","",IF(J13="N/A","Not applicable",CHOOSE(J13+1,"Gap","Documented","Implemented","Evidenced","Automated")))</f>
        <v>Documented</v>
      </c>
      <c r="L13" s="57"/>
      <c r="M13" s="59"/>
      <c r="N13" s="49" t="s">
        <v>1322</v>
      </c>
      <c r="O13" s="56" t="s">
        <v>281</v>
      </c>
      <c r="P13" s="49" t="s">
        <v>1323</v>
      </c>
      <c r="Q13" s="49" t="s">
        <v>1324</v>
      </c>
    </row>
    <row r="14" spans="1:17" ht="57.75" customHeight="1" outlineLevel="1" x14ac:dyDescent="0.2">
      <c r="A14" s="55" t="s">
        <v>1325</v>
      </c>
      <c r="B14" s="56" t="s">
        <v>190</v>
      </c>
      <c r="C14" s="49" t="s">
        <v>1326</v>
      </c>
      <c r="D14" s="57" t="s">
        <v>242</v>
      </c>
      <c r="E14" s="49" t="s">
        <v>258</v>
      </c>
      <c r="F14" s="49" t="s">
        <v>914</v>
      </c>
      <c r="G14" s="49" t="s">
        <v>1327</v>
      </c>
      <c r="H14" s="49" t="s">
        <v>1328</v>
      </c>
      <c r="I14" s="58" t="s">
        <v>1329</v>
      </c>
      <c r="J14" s="69">
        <v>1</v>
      </c>
      <c r="K14" s="70" t="str">
        <f>IF(J14="","",IF(J14="N/A","Not applicable",CHOOSE(J14+1,"Gap","Documented","Implemented","Evidenced","Automated")))</f>
        <v>Documented</v>
      </c>
      <c r="L14" s="57"/>
      <c r="M14" s="59"/>
      <c r="N14" s="49" t="s">
        <v>1330</v>
      </c>
      <c r="O14" s="56" t="s">
        <v>281</v>
      </c>
      <c r="P14" s="49" t="s">
        <v>1331</v>
      </c>
      <c r="Q14" s="49" t="s">
        <v>1332</v>
      </c>
    </row>
    <row r="15" spans="1:17" ht="19.5" customHeight="1" x14ac:dyDescent="0.2">
      <c r="A15" s="52" t="s">
        <v>191</v>
      </c>
      <c r="B15" s="52"/>
      <c r="C15" s="53" t="s">
        <v>1333</v>
      </c>
      <c r="D15" s="53"/>
      <c r="E15" s="53"/>
      <c r="F15" s="53"/>
      <c r="G15" s="53"/>
      <c r="H15" s="53"/>
      <c r="I15" s="53"/>
      <c r="J15" s="67">
        <f>IFERROR(ROUND(AVERAGE(J16:J19),1),"")</f>
        <v>1</v>
      </c>
      <c r="K15" s="68" t="str">
        <f>IF(COUNT(J16:J19)=0,IF(COUNTIF(J16:J19,"N/A")&gt;0,"all n/a","not scored"),COUNTIF(J16:J19,0)&amp;" gaps, "&amp;COUNTIFS(J16:J19,"&lt;3")&amp;" below 3")</f>
        <v>0 gaps, 4 below 3</v>
      </c>
      <c r="L15" s="53"/>
      <c r="M15" s="54"/>
      <c r="N15" s="53"/>
      <c r="O15" s="52" t="s">
        <v>911</v>
      </c>
      <c r="P15" s="53"/>
      <c r="Q15" s="53"/>
    </row>
    <row r="16" spans="1:17" ht="57.75" customHeight="1" outlineLevel="1" x14ac:dyDescent="0.2">
      <c r="A16" s="55" t="s">
        <v>1334</v>
      </c>
      <c r="B16" s="56" t="s">
        <v>191</v>
      </c>
      <c r="C16" s="49" t="s">
        <v>1335</v>
      </c>
      <c r="D16" s="57" t="s">
        <v>242</v>
      </c>
      <c r="E16" s="49" t="s">
        <v>1336</v>
      </c>
      <c r="F16" s="49" t="s">
        <v>557</v>
      </c>
      <c r="G16" s="49" t="s">
        <v>1337</v>
      </c>
      <c r="H16" s="49" t="s">
        <v>1338</v>
      </c>
      <c r="I16" s="58" t="s">
        <v>1339</v>
      </c>
      <c r="J16" s="69">
        <v>1</v>
      </c>
      <c r="K16" s="70" t="str">
        <f>IF(J16="","",IF(J16="N/A","Not applicable",CHOOSE(J16+1,"Gap","Documented","Implemented","Evidenced","Automated")))</f>
        <v>Documented</v>
      </c>
      <c r="L16" s="57"/>
      <c r="M16" s="59"/>
      <c r="N16" s="49" t="s">
        <v>1340</v>
      </c>
      <c r="O16" s="56" t="s">
        <v>281</v>
      </c>
      <c r="P16" s="49" t="s">
        <v>1341</v>
      </c>
      <c r="Q16" s="49" t="s">
        <v>1342</v>
      </c>
    </row>
    <row r="17" spans="1:17" ht="57.75" customHeight="1" outlineLevel="1" x14ac:dyDescent="0.2">
      <c r="A17" s="55" t="s">
        <v>1343</v>
      </c>
      <c r="B17" s="56" t="s">
        <v>191</v>
      </c>
      <c r="C17" s="49" t="s">
        <v>1344</v>
      </c>
      <c r="D17" s="57" t="s">
        <v>242</v>
      </c>
      <c r="E17" s="49" t="s">
        <v>1345</v>
      </c>
      <c r="F17" s="49" t="s">
        <v>557</v>
      </c>
      <c r="G17" s="49" t="s">
        <v>1346</v>
      </c>
      <c r="H17" s="49" t="s">
        <v>1347</v>
      </c>
      <c r="I17" s="58" t="s">
        <v>1348</v>
      </c>
      <c r="J17" s="69">
        <v>1</v>
      </c>
      <c r="K17" s="70" t="str">
        <f>IF(J17="","",IF(J17="N/A","Not applicable",CHOOSE(J17+1,"Gap","Documented","Implemented","Evidenced","Automated")))</f>
        <v>Documented</v>
      </c>
      <c r="L17" s="57"/>
      <c r="M17" s="59"/>
      <c r="N17" s="49" t="s">
        <v>1349</v>
      </c>
      <c r="O17" s="56" t="s">
        <v>281</v>
      </c>
      <c r="P17" s="49" t="s">
        <v>1350</v>
      </c>
      <c r="Q17" s="49" t="s">
        <v>1351</v>
      </c>
    </row>
    <row r="18" spans="1:17" ht="57.75" customHeight="1" outlineLevel="1" x14ac:dyDescent="0.2">
      <c r="A18" s="55" t="s">
        <v>1352</v>
      </c>
      <c r="B18" s="56" t="s">
        <v>191</v>
      </c>
      <c r="C18" s="49" t="s">
        <v>1353</v>
      </c>
      <c r="D18" s="57" t="s">
        <v>242</v>
      </c>
      <c r="E18" s="49" t="s">
        <v>1354</v>
      </c>
      <c r="F18" s="49" t="s">
        <v>478</v>
      </c>
      <c r="G18" s="49" t="s">
        <v>1355</v>
      </c>
      <c r="H18" s="49" t="s">
        <v>1356</v>
      </c>
      <c r="I18" s="58" t="s">
        <v>1357</v>
      </c>
      <c r="J18" s="69">
        <v>1</v>
      </c>
      <c r="K18" s="70" t="str">
        <f>IF(J18="","",IF(J18="N/A","Not applicable",CHOOSE(J18+1,"Gap","Documented","Implemented","Evidenced","Automated")))</f>
        <v>Documented</v>
      </c>
      <c r="L18" s="57"/>
      <c r="M18" s="59"/>
      <c r="N18" s="49" t="s">
        <v>1358</v>
      </c>
      <c r="O18" s="56" t="s">
        <v>281</v>
      </c>
      <c r="P18" s="49" t="s">
        <v>1359</v>
      </c>
      <c r="Q18" s="49" t="s">
        <v>1360</v>
      </c>
    </row>
    <row r="19" spans="1:17" ht="57.75" customHeight="1" outlineLevel="1" x14ac:dyDescent="0.2">
      <c r="A19" s="55" t="s">
        <v>1361</v>
      </c>
      <c r="B19" s="56" t="s">
        <v>191</v>
      </c>
      <c r="C19" s="49" t="s">
        <v>1362</v>
      </c>
      <c r="D19" s="57" t="s">
        <v>242</v>
      </c>
      <c r="E19" s="49" t="s">
        <v>258</v>
      </c>
      <c r="F19" s="49" t="s">
        <v>557</v>
      </c>
      <c r="G19" s="49" t="s">
        <v>1363</v>
      </c>
      <c r="H19" s="49" t="s">
        <v>1364</v>
      </c>
      <c r="I19" s="58" t="s">
        <v>1365</v>
      </c>
      <c r="J19" s="69">
        <v>1</v>
      </c>
      <c r="K19" s="70" t="str">
        <f>IF(J19="","",IF(J19="N/A","Not applicable",CHOOSE(J19+1,"Gap","Documented","Implemented","Evidenced","Automated")))</f>
        <v>Documented</v>
      </c>
      <c r="L19" s="57"/>
      <c r="M19" s="59"/>
      <c r="N19" s="49" t="s">
        <v>1366</v>
      </c>
      <c r="O19" s="56" t="s">
        <v>281</v>
      </c>
      <c r="P19" s="49" t="s">
        <v>1367</v>
      </c>
      <c r="Q19" s="49" t="s">
        <v>1368</v>
      </c>
    </row>
    <row r="20" spans="1:17" ht="19.5" customHeight="1" x14ac:dyDescent="0.2">
      <c r="A20" s="52" t="s">
        <v>192</v>
      </c>
      <c r="B20" s="52"/>
      <c r="C20" s="53" t="s">
        <v>1369</v>
      </c>
      <c r="D20" s="53"/>
      <c r="E20" s="53"/>
      <c r="F20" s="53"/>
      <c r="G20" s="53"/>
      <c r="H20" s="53"/>
      <c r="I20" s="53"/>
      <c r="J20" s="67">
        <f>IFERROR(ROUND(AVERAGE(J21:J25),1),"")</f>
        <v>1</v>
      </c>
      <c r="K20" s="68" t="str">
        <f>IF(COUNT(J21:J25)=0,IF(COUNTIF(J21:J25,"N/A")&gt;0,"all n/a","not scored"),COUNTIF(J21:J25,0)&amp;" gaps, "&amp;COUNTIFS(J21:J25,"&lt;3")&amp;" below 3")</f>
        <v>0 gaps, 5 below 3</v>
      </c>
      <c r="L20" s="53"/>
      <c r="M20" s="54"/>
      <c r="N20" s="53"/>
      <c r="O20" s="52" t="s">
        <v>1370</v>
      </c>
      <c r="P20" s="53"/>
      <c r="Q20" s="53"/>
    </row>
    <row r="21" spans="1:17" ht="57.75" customHeight="1" outlineLevel="1" x14ac:dyDescent="0.2">
      <c r="A21" s="55" t="s">
        <v>1371</v>
      </c>
      <c r="B21" s="56" t="s">
        <v>192</v>
      </c>
      <c r="C21" s="49" t="s">
        <v>1372</v>
      </c>
      <c r="D21" s="57" t="s">
        <v>233</v>
      </c>
      <c r="E21" s="49" t="s">
        <v>234</v>
      </c>
      <c r="F21" s="49" t="s">
        <v>287</v>
      </c>
      <c r="G21" s="49" t="s">
        <v>1373</v>
      </c>
      <c r="H21" s="49" t="s">
        <v>1374</v>
      </c>
      <c r="I21" s="58" t="s">
        <v>1375</v>
      </c>
      <c r="J21" s="69">
        <v>1</v>
      </c>
      <c r="K21" s="70" t="str">
        <f>IF(J21="","",IF(J21="N/A","Not applicable",CHOOSE(J21+1,"Gap","Documented","Implemented","Evidenced","Automated")))</f>
        <v>Documented</v>
      </c>
      <c r="L21" s="57"/>
      <c r="M21" s="59"/>
      <c r="N21" s="49" t="s">
        <v>1376</v>
      </c>
      <c r="O21" s="56" t="s">
        <v>34</v>
      </c>
      <c r="P21" s="49" t="s">
        <v>1377</v>
      </c>
      <c r="Q21" s="49" t="s">
        <v>1378</v>
      </c>
    </row>
    <row r="22" spans="1:17" ht="57.75" customHeight="1" outlineLevel="1" x14ac:dyDescent="0.2">
      <c r="A22" s="55" t="s">
        <v>1379</v>
      </c>
      <c r="B22" s="56" t="s">
        <v>192</v>
      </c>
      <c r="C22" s="49" t="s">
        <v>1380</v>
      </c>
      <c r="D22" s="57" t="s">
        <v>242</v>
      </c>
      <c r="E22" s="49" t="s">
        <v>1345</v>
      </c>
      <c r="F22" s="49" t="s">
        <v>557</v>
      </c>
      <c r="G22" s="49" t="s">
        <v>1381</v>
      </c>
      <c r="H22" s="49" t="s">
        <v>1382</v>
      </c>
      <c r="I22" s="58" t="s">
        <v>1383</v>
      </c>
      <c r="J22" s="69">
        <v>1</v>
      </c>
      <c r="K22" s="70" t="str">
        <f>IF(J22="","",IF(J22="N/A","Not applicable",CHOOSE(J22+1,"Gap","Documented","Implemented","Evidenced","Automated")))</f>
        <v>Documented</v>
      </c>
      <c r="L22" s="57"/>
      <c r="M22" s="59"/>
      <c r="N22" s="49" t="s">
        <v>1384</v>
      </c>
      <c r="O22" s="56" t="s">
        <v>281</v>
      </c>
      <c r="P22" s="49" t="s">
        <v>1385</v>
      </c>
      <c r="Q22" s="49" t="s">
        <v>1386</v>
      </c>
    </row>
    <row r="23" spans="1:17" ht="57.75" customHeight="1" outlineLevel="1" x14ac:dyDescent="0.2">
      <c r="A23" s="55" t="s">
        <v>1387</v>
      </c>
      <c r="B23" s="56" t="s">
        <v>192</v>
      </c>
      <c r="C23" s="49" t="s">
        <v>1388</v>
      </c>
      <c r="D23" s="57" t="s">
        <v>242</v>
      </c>
      <c r="E23" s="49" t="s">
        <v>1345</v>
      </c>
      <c r="F23" s="49" t="s">
        <v>914</v>
      </c>
      <c r="G23" s="49" t="s">
        <v>1389</v>
      </c>
      <c r="H23" s="49" t="s">
        <v>1390</v>
      </c>
      <c r="I23" s="58" t="s">
        <v>1391</v>
      </c>
      <c r="J23" s="69">
        <v>1</v>
      </c>
      <c r="K23" s="70" t="str">
        <f>IF(J23="","",IF(J23="N/A","Not applicable",CHOOSE(J23+1,"Gap","Documented","Implemented","Evidenced","Automated")))</f>
        <v>Documented</v>
      </c>
      <c r="L23" s="57"/>
      <c r="M23" s="59"/>
      <c r="N23" s="49" t="s">
        <v>1392</v>
      </c>
      <c r="O23" s="56" t="s">
        <v>281</v>
      </c>
      <c r="P23" s="49" t="s">
        <v>1393</v>
      </c>
      <c r="Q23" s="49" t="s">
        <v>1394</v>
      </c>
    </row>
    <row r="24" spans="1:17" ht="57.75" customHeight="1" outlineLevel="1" x14ac:dyDescent="0.2">
      <c r="A24" s="55" t="s">
        <v>1395</v>
      </c>
      <c r="B24" s="56" t="s">
        <v>192</v>
      </c>
      <c r="C24" s="49" t="s">
        <v>1396</v>
      </c>
      <c r="D24" s="57" t="s">
        <v>233</v>
      </c>
      <c r="E24" s="49" t="s">
        <v>1397</v>
      </c>
      <c r="F24" s="49" t="s">
        <v>296</v>
      </c>
      <c r="G24" s="49" t="s">
        <v>1398</v>
      </c>
      <c r="H24" s="49" t="s">
        <v>1399</v>
      </c>
      <c r="I24" s="58" t="s">
        <v>1400</v>
      </c>
      <c r="J24" s="69">
        <v>1</v>
      </c>
      <c r="K24" s="70" t="str">
        <f>IF(J24="","",IF(J24="N/A","Not applicable",CHOOSE(J24+1,"Gap","Documented","Implemented","Evidenced","Automated")))</f>
        <v>Documented</v>
      </c>
      <c r="L24" s="57"/>
      <c r="M24" s="59"/>
      <c r="N24" s="49" t="s">
        <v>1401</v>
      </c>
      <c r="O24" s="56" t="s">
        <v>281</v>
      </c>
      <c r="P24" s="49" t="s">
        <v>1402</v>
      </c>
      <c r="Q24" s="49" t="s">
        <v>1403</v>
      </c>
    </row>
    <row r="25" spans="1:17" ht="57.75" customHeight="1" outlineLevel="1" x14ac:dyDescent="0.2">
      <c r="A25" s="55" t="s">
        <v>1404</v>
      </c>
      <c r="B25" s="56" t="s">
        <v>192</v>
      </c>
      <c r="C25" s="49" t="s">
        <v>1405</v>
      </c>
      <c r="D25" s="57" t="s">
        <v>242</v>
      </c>
      <c r="E25" s="49" t="s">
        <v>1345</v>
      </c>
      <c r="F25" s="49" t="s">
        <v>557</v>
      </c>
      <c r="G25" s="49" t="s">
        <v>1406</v>
      </c>
      <c r="H25" s="49" t="s">
        <v>1407</v>
      </c>
      <c r="I25" s="58" t="s">
        <v>1408</v>
      </c>
      <c r="J25" s="69">
        <v>1</v>
      </c>
      <c r="K25" s="70" t="str">
        <f>IF(J25="","",IF(J25="N/A","Not applicable",CHOOSE(J25+1,"Gap","Documented","Implemented","Evidenced","Automated")))</f>
        <v>Documented</v>
      </c>
      <c r="L25" s="57"/>
      <c r="M25" s="59"/>
      <c r="N25" s="49" t="s">
        <v>1409</v>
      </c>
      <c r="O25" s="56" t="s">
        <v>281</v>
      </c>
      <c r="P25" s="49" t="s">
        <v>1410</v>
      </c>
      <c r="Q25" s="49" t="s">
        <v>1411</v>
      </c>
    </row>
    <row r="26" spans="1:17" ht="19.5" customHeight="1" x14ac:dyDescent="0.2">
      <c r="A26" s="52" t="s">
        <v>193</v>
      </c>
      <c r="B26" s="52"/>
      <c r="C26" s="53" t="s">
        <v>1412</v>
      </c>
      <c r="D26" s="53"/>
      <c r="E26" s="53"/>
      <c r="F26" s="53"/>
      <c r="G26" s="53"/>
      <c r="H26" s="53"/>
      <c r="I26" s="53"/>
      <c r="J26" s="67">
        <f>IFERROR(ROUND(AVERAGE(J27:J30),1),"")</f>
        <v>1</v>
      </c>
      <c r="K26" s="68" t="str">
        <f>IF(COUNT(J27:J30)=0,IF(COUNTIF(J27:J30,"N/A")&gt;0,"all n/a","not scored"),COUNTIF(J27:J30,0)&amp;" gaps, "&amp;COUNTIFS(J27:J30,"&lt;3")&amp;" below 3")</f>
        <v>0 gaps, 4 below 3</v>
      </c>
      <c r="L26" s="53"/>
      <c r="M26" s="54"/>
      <c r="N26" s="53"/>
      <c r="O26" s="52" t="s">
        <v>686</v>
      </c>
      <c r="P26" s="53"/>
      <c r="Q26" s="53"/>
    </row>
    <row r="27" spans="1:17" ht="57.75" customHeight="1" outlineLevel="1" x14ac:dyDescent="0.2">
      <c r="A27" s="55" t="s">
        <v>1413</v>
      </c>
      <c r="B27" s="56" t="s">
        <v>193</v>
      </c>
      <c r="C27" s="49" t="s">
        <v>1414</v>
      </c>
      <c r="D27" s="57" t="s">
        <v>242</v>
      </c>
      <c r="E27" s="49" t="s">
        <v>1345</v>
      </c>
      <c r="F27" s="49" t="s">
        <v>914</v>
      </c>
      <c r="G27" s="49" t="s">
        <v>1415</v>
      </c>
      <c r="H27" s="49" t="s">
        <v>1416</v>
      </c>
      <c r="I27" s="58" t="s">
        <v>1417</v>
      </c>
      <c r="J27" s="69">
        <v>1</v>
      </c>
      <c r="K27" s="70" t="str">
        <f>IF(J27="","",IF(J27="N/A","Not applicable",CHOOSE(J27+1,"Gap","Documented","Implemented","Evidenced","Automated")))</f>
        <v>Documented</v>
      </c>
      <c r="L27" s="57"/>
      <c r="M27" s="59"/>
      <c r="N27" s="49" t="s">
        <v>1418</v>
      </c>
      <c r="O27" s="56" t="s">
        <v>281</v>
      </c>
      <c r="P27" s="49" t="s">
        <v>1419</v>
      </c>
      <c r="Q27" s="49" t="s">
        <v>1420</v>
      </c>
    </row>
    <row r="28" spans="1:17" ht="57.75" customHeight="1" outlineLevel="1" x14ac:dyDescent="0.2">
      <c r="A28" s="55" t="s">
        <v>1421</v>
      </c>
      <c r="B28" s="56" t="s">
        <v>193</v>
      </c>
      <c r="C28" s="49" t="s">
        <v>1422</v>
      </c>
      <c r="D28" s="57" t="s">
        <v>242</v>
      </c>
      <c r="E28" s="49" t="s">
        <v>1345</v>
      </c>
      <c r="F28" s="49" t="s">
        <v>287</v>
      </c>
      <c r="G28" s="49" t="s">
        <v>1423</v>
      </c>
      <c r="H28" s="49" t="s">
        <v>1424</v>
      </c>
      <c r="I28" s="58" t="s">
        <v>1425</v>
      </c>
      <c r="J28" s="69">
        <v>1</v>
      </c>
      <c r="K28" s="70" t="str">
        <f>IF(J28="","",IF(J28="N/A","Not applicable",CHOOSE(J28+1,"Gap","Documented","Implemented","Evidenced","Automated")))</f>
        <v>Documented</v>
      </c>
      <c r="L28" s="57"/>
      <c r="M28" s="59"/>
      <c r="N28" s="49" t="s">
        <v>1418</v>
      </c>
      <c r="O28" s="56" t="s">
        <v>281</v>
      </c>
      <c r="P28" s="49" t="s">
        <v>1426</v>
      </c>
      <c r="Q28" s="49" t="s">
        <v>1427</v>
      </c>
    </row>
    <row r="29" spans="1:17" ht="57.75" customHeight="1" outlineLevel="1" x14ac:dyDescent="0.2">
      <c r="A29" s="55" t="s">
        <v>1428</v>
      </c>
      <c r="B29" s="56" t="s">
        <v>193</v>
      </c>
      <c r="C29" s="49" t="s">
        <v>1429</v>
      </c>
      <c r="D29" s="57" t="s">
        <v>242</v>
      </c>
      <c r="E29" s="49" t="s">
        <v>1345</v>
      </c>
      <c r="F29" s="49" t="s">
        <v>244</v>
      </c>
      <c r="G29" s="49" t="s">
        <v>1430</v>
      </c>
      <c r="H29" s="49" t="s">
        <v>1431</v>
      </c>
      <c r="I29" s="58" t="s">
        <v>1432</v>
      </c>
      <c r="J29" s="69">
        <v>1</v>
      </c>
      <c r="K29" s="70" t="str">
        <f>IF(J29="","",IF(J29="N/A","Not applicable",CHOOSE(J29+1,"Gap","Documented","Implemented","Evidenced","Automated")))</f>
        <v>Documented</v>
      </c>
      <c r="L29" s="57"/>
      <c r="M29" s="59"/>
      <c r="N29" s="49" t="s">
        <v>1433</v>
      </c>
      <c r="O29" s="56" t="s">
        <v>34</v>
      </c>
      <c r="P29" s="49" t="s">
        <v>1434</v>
      </c>
      <c r="Q29" s="49" t="s">
        <v>1435</v>
      </c>
    </row>
    <row r="30" spans="1:17" ht="57.75" customHeight="1" outlineLevel="1" x14ac:dyDescent="0.2">
      <c r="A30" s="55" t="s">
        <v>1436</v>
      </c>
      <c r="B30" s="56" t="s">
        <v>193</v>
      </c>
      <c r="C30" s="49" t="s">
        <v>1437</v>
      </c>
      <c r="D30" s="57" t="s">
        <v>242</v>
      </c>
      <c r="E30" s="49" t="s">
        <v>234</v>
      </c>
      <c r="F30" s="49" t="s">
        <v>287</v>
      </c>
      <c r="G30" s="49" t="s">
        <v>1438</v>
      </c>
      <c r="H30" s="49" t="s">
        <v>1439</v>
      </c>
      <c r="I30" s="58" t="s">
        <v>1440</v>
      </c>
      <c r="J30" s="69">
        <v>1</v>
      </c>
      <c r="K30" s="70" t="str">
        <f>IF(J30="","",IF(J30="N/A","Not applicable",CHOOSE(J30+1,"Gap","Documented","Implemented","Evidenced","Automated")))</f>
        <v>Documented</v>
      </c>
      <c r="L30" s="57"/>
      <c r="M30" s="59"/>
      <c r="N30" s="49" t="s">
        <v>1441</v>
      </c>
      <c r="O30" s="56" t="s">
        <v>281</v>
      </c>
      <c r="P30" s="49" t="s">
        <v>1442</v>
      </c>
      <c r="Q30" s="49" t="s">
        <v>1443</v>
      </c>
    </row>
    <row r="32" spans="1:17" ht="120" customHeight="1" x14ac:dyDescent="0.25">
      <c r="A32" s="63" t="s">
        <v>441</v>
      </c>
      <c r="C32" s="64" t="s">
        <v>1444</v>
      </c>
    </row>
    <row r="33" spans="1:3" ht="150" customHeight="1" x14ac:dyDescent="0.25">
      <c r="A33" s="63" t="s">
        <v>443</v>
      </c>
      <c r="C33" s="64" t="s">
        <v>1445</v>
      </c>
    </row>
    <row r="34" spans="1:3" ht="100" customHeight="1" x14ac:dyDescent="0.25">
      <c r="A34" s="63" t="s">
        <v>445</v>
      </c>
      <c r="C34" s="64" t="s">
        <v>446</v>
      </c>
    </row>
    <row r="36" spans="1:3" ht="220" customHeight="1" x14ac:dyDescent="0.25">
      <c r="A36" s="87" t="s">
        <v>447</v>
      </c>
      <c r="C36" s="88" t="s">
        <v>1446</v>
      </c>
    </row>
  </sheetData>
  <conditionalFormatting sqref="J5:J30">
    <cfRule type="cellIs" dxfId="47" priority="1" operator="equal">
      <formula>0</formula>
    </cfRule>
    <cfRule type="cellIs" dxfId="46" priority="3" operator="equal">
      <formula>1</formula>
    </cfRule>
    <cfRule type="cellIs" dxfId="45" priority="5" operator="equal">
      <formula>2</formula>
    </cfRule>
    <cfRule type="cellIs" dxfId="44" priority="7" operator="equal">
      <formula>3</formula>
    </cfRule>
    <cfRule type="cellIs" dxfId="43" priority="9" operator="equal">
      <formula>4</formula>
    </cfRule>
    <cfRule type="cellIs" dxfId="42" priority="11" operator="equal">
      <formula>"N/A"</formula>
    </cfRule>
  </conditionalFormatting>
  <conditionalFormatting sqref="K5:K30">
    <cfRule type="expression" dxfId="41" priority="2">
      <formula>$J5=0</formula>
    </cfRule>
    <cfRule type="expression" dxfId="40" priority="4">
      <formula>$J5=1</formula>
    </cfRule>
    <cfRule type="expression" dxfId="39" priority="6">
      <formula>$J5=2</formula>
    </cfRule>
    <cfRule type="expression" dxfId="38" priority="8">
      <formula>$J5=3</formula>
    </cfRule>
    <cfRule type="expression" dxfId="37" priority="10">
      <formula>$J5=4</formula>
    </cfRule>
    <cfRule type="expression" dxfId="36" priority="12">
      <formula>$J5="N/A"</formula>
    </cfRule>
  </conditionalFormatting>
  <conditionalFormatting sqref="L5:L30">
    <cfRule type="expression" dxfId="35" priority="13">
      <formula>AND($J5="N/A",$L5="")</formula>
    </cfRule>
  </conditionalFormatting>
  <conditionalFormatting sqref="O5:O30">
    <cfRule type="cellIs" dxfId="34" priority="14" operator="equal">
      <formula>"Yes"</formula>
    </cfRule>
    <cfRule type="cellIs" dxfId="33" priority="15" operator="equal">
      <formula>"Partial"</formula>
    </cfRule>
    <cfRule type="cellIs" dxfId="32" priority="16" operator="equal">
      <formula>"No"</formula>
    </cfRule>
  </conditionalFormatting>
  <dataValidations count="2">
    <dataValidation type="list" allowBlank="1" showErrorMessage="1" errorTitle="Score out of range" error="Score each control 0 to 4, or N/A. See the scale on the Read Me tab." sqref="J5:J30" xr:uid="{00000000-0002-0000-0800-000000000000}">
      <formula1>"0,1,2,3,4,N/A"</formula1>
    </dataValidation>
    <dataValidation type="list" allowBlank="1" sqref="O5:O30" xr:uid="{00000000-0002-0000-0800-000001000000}">
      <formula1>"Yes,Partial,No"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Q18"/>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1447</v>
      </c>
    </row>
    <row r="2" spans="1:17" ht="19" x14ac:dyDescent="0.25">
      <c r="A2" s="46" t="s">
        <v>1448</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195</v>
      </c>
      <c r="B5" s="52"/>
      <c r="C5" s="53" t="s">
        <v>1449</v>
      </c>
      <c r="D5" s="53"/>
      <c r="E5" s="53"/>
      <c r="F5" s="53"/>
      <c r="G5" s="53"/>
      <c r="H5" s="53"/>
      <c r="I5" s="53"/>
      <c r="J5" s="67">
        <f>IFERROR(ROUND(AVERAGE(J6:J12),1),"")</f>
        <v>1</v>
      </c>
      <c r="K5" s="68" t="str">
        <f>IF(COUNT(J6:J12)=0,IF(COUNTIF(J6:J12,"N/A")&gt;0,"all n/a","not scored"),COUNTIF(J6:J12,0)&amp;" gaps, "&amp;COUNTIFS(J6:J12,"&lt;3")&amp;" below 3")</f>
        <v>0 gaps, 7 below 3</v>
      </c>
      <c r="L5" s="53"/>
      <c r="M5" s="54"/>
      <c r="N5" s="53"/>
      <c r="O5" s="52" t="s">
        <v>625</v>
      </c>
      <c r="P5" s="53"/>
      <c r="Q5" s="53"/>
    </row>
    <row r="6" spans="1:17" ht="57.75" customHeight="1" outlineLevel="1" x14ac:dyDescent="0.2">
      <c r="A6" s="55" t="s">
        <v>1450</v>
      </c>
      <c r="B6" s="56" t="s">
        <v>195</v>
      </c>
      <c r="C6" s="49" t="s">
        <v>1451</v>
      </c>
      <c r="D6" s="57" t="s">
        <v>242</v>
      </c>
      <c r="E6" s="49" t="s">
        <v>1452</v>
      </c>
      <c r="F6" s="49" t="s">
        <v>287</v>
      </c>
      <c r="G6" s="49" t="s">
        <v>1453</v>
      </c>
      <c r="H6" s="49" t="s">
        <v>1454</v>
      </c>
      <c r="I6" s="58" t="s">
        <v>1455</v>
      </c>
      <c r="J6" s="69">
        <v>1</v>
      </c>
      <c r="K6" s="70" t="str">
        <f t="shared" ref="K6:K12" si="0">IF(J6="","",IF(J6="N/A","Not applicable",CHOOSE(J6+1,"Gap","Documented","Implemented","Evidenced","Automated")))</f>
        <v>Documented</v>
      </c>
      <c r="L6" s="57"/>
      <c r="M6" s="59"/>
      <c r="N6" s="49" t="s">
        <v>1456</v>
      </c>
      <c r="O6" s="56" t="s">
        <v>281</v>
      </c>
      <c r="P6" s="49" t="s">
        <v>1457</v>
      </c>
      <c r="Q6" s="49" t="s">
        <v>1458</v>
      </c>
    </row>
    <row r="7" spans="1:17" ht="57.75" customHeight="1" outlineLevel="1" x14ac:dyDescent="0.2">
      <c r="A7" s="55" t="s">
        <v>1459</v>
      </c>
      <c r="B7" s="56" t="s">
        <v>195</v>
      </c>
      <c r="C7" s="49" t="s">
        <v>1460</v>
      </c>
      <c r="D7" s="57" t="s">
        <v>242</v>
      </c>
      <c r="E7" s="49" t="s">
        <v>1452</v>
      </c>
      <c r="F7" s="49" t="s">
        <v>287</v>
      </c>
      <c r="G7" s="49" t="s">
        <v>1461</v>
      </c>
      <c r="H7" s="49" t="s">
        <v>1462</v>
      </c>
      <c r="I7" s="58" t="s">
        <v>1463</v>
      </c>
      <c r="J7" s="69">
        <v>1</v>
      </c>
      <c r="K7" s="70" t="str">
        <f t="shared" si="0"/>
        <v>Documented</v>
      </c>
      <c r="L7" s="57"/>
      <c r="M7" s="59"/>
      <c r="N7" s="49" t="s">
        <v>1464</v>
      </c>
      <c r="O7" s="56" t="s">
        <v>281</v>
      </c>
      <c r="P7" s="49" t="s">
        <v>1465</v>
      </c>
      <c r="Q7" s="49" t="s">
        <v>1466</v>
      </c>
    </row>
    <row r="8" spans="1:17" ht="57.75" customHeight="1" outlineLevel="1" x14ac:dyDescent="0.2">
      <c r="A8" s="55" t="s">
        <v>1467</v>
      </c>
      <c r="B8" s="56" t="s">
        <v>195</v>
      </c>
      <c r="C8" s="49" t="s">
        <v>1468</v>
      </c>
      <c r="D8" s="57" t="s">
        <v>242</v>
      </c>
      <c r="E8" s="49" t="s">
        <v>1452</v>
      </c>
      <c r="F8" s="49" t="s">
        <v>287</v>
      </c>
      <c r="G8" s="49" t="s">
        <v>1469</v>
      </c>
      <c r="H8" s="49" t="s">
        <v>1470</v>
      </c>
      <c r="I8" s="58" t="s">
        <v>1471</v>
      </c>
      <c r="J8" s="69">
        <v>1</v>
      </c>
      <c r="K8" s="70" t="str">
        <f t="shared" si="0"/>
        <v>Documented</v>
      </c>
      <c r="L8" s="57"/>
      <c r="M8" s="59"/>
      <c r="N8" s="49" t="s">
        <v>1472</v>
      </c>
      <c r="O8" s="56" t="s">
        <v>281</v>
      </c>
      <c r="P8" s="49" t="s">
        <v>1473</v>
      </c>
      <c r="Q8" s="49" t="s">
        <v>1474</v>
      </c>
    </row>
    <row r="9" spans="1:17" ht="57.75" customHeight="1" outlineLevel="1" x14ac:dyDescent="0.2">
      <c r="A9" s="55" t="s">
        <v>1475</v>
      </c>
      <c r="B9" s="56" t="s">
        <v>195</v>
      </c>
      <c r="C9" s="49" t="s">
        <v>1476</v>
      </c>
      <c r="D9" s="57" t="s">
        <v>242</v>
      </c>
      <c r="E9" s="49" t="s">
        <v>258</v>
      </c>
      <c r="F9" s="49" t="s">
        <v>287</v>
      </c>
      <c r="G9" s="49" t="s">
        <v>1477</v>
      </c>
      <c r="H9" s="49" t="s">
        <v>1478</v>
      </c>
      <c r="I9" s="58" t="s">
        <v>1479</v>
      </c>
      <c r="J9" s="69">
        <v>1</v>
      </c>
      <c r="K9" s="70" t="str">
        <f t="shared" si="0"/>
        <v>Documented</v>
      </c>
      <c r="L9" s="57"/>
      <c r="M9" s="59"/>
      <c r="N9" s="49" t="s">
        <v>1480</v>
      </c>
      <c r="O9" s="56" t="s">
        <v>281</v>
      </c>
      <c r="P9" s="49" t="s">
        <v>1481</v>
      </c>
      <c r="Q9" s="49" t="s">
        <v>1482</v>
      </c>
    </row>
    <row r="10" spans="1:17" ht="57.75" customHeight="1" outlineLevel="1" x14ac:dyDescent="0.2">
      <c r="A10" s="55" t="s">
        <v>1483</v>
      </c>
      <c r="B10" s="56" t="s">
        <v>195</v>
      </c>
      <c r="C10" s="49" t="s">
        <v>1484</v>
      </c>
      <c r="D10" s="57" t="s">
        <v>242</v>
      </c>
      <c r="E10" s="49" t="s">
        <v>1485</v>
      </c>
      <c r="F10" s="49" t="s">
        <v>287</v>
      </c>
      <c r="G10" s="49" t="s">
        <v>1486</v>
      </c>
      <c r="H10" s="49" t="s">
        <v>1487</v>
      </c>
      <c r="I10" s="58" t="s">
        <v>1488</v>
      </c>
      <c r="J10" s="69">
        <v>1</v>
      </c>
      <c r="K10" s="70" t="str">
        <f t="shared" si="0"/>
        <v>Documented</v>
      </c>
      <c r="L10" s="57"/>
      <c r="M10" s="59"/>
      <c r="N10" s="49" t="s">
        <v>1489</v>
      </c>
      <c r="O10" s="56" t="s">
        <v>281</v>
      </c>
      <c r="P10" s="49" t="s">
        <v>1490</v>
      </c>
      <c r="Q10" s="49" t="s">
        <v>1491</v>
      </c>
    </row>
    <row r="11" spans="1:17" ht="57.75" customHeight="1" outlineLevel="1" x14ac:dyDescent="0.2">
      <c r="A11" s="55" t="s">
        <v>1492</v>
      </c>
      <c r="B11" s="56" t="s">
        <v>195</v>
      </c>
      <c r="C11" s="49" t="s">
        <v>1493</v>
      </c>
      <c r="D11" s="57" t="s">
        <v>242</v>
      </c>
      <c r="E11" s="49" t="s">
        <v>1452</v>
      </c>
      <c r="F11" s="49" t="s">
        <v>287</v>
      </c>
      <c r="G11" s="49" t="s">
        <v>1494</v>
      </c>
      <c r="H11" s="49" t="s">
        <v>1495</v>
      </c>
      <c r="I11" s="58" t="s">
        <v>1496</v>
      </c>
      <c r="J11" s="69">
        <v>1</v>
      </c>
      <c r="K11" s="70" t="str">
        <f t="shared" si="0"/>
        <v>Documented</v>
      </c>
      <c r="L11" s="57"/>
      <c r="M11" s="59"/>
      <c r="N11" s="49" t="s">
        <v>1497</v>
      </c>
      <c r="O11" s="56" t="s">
        <v>281</v>
      </c>
      <c r="P11" s="49" t="s">
        <v>1498</v>
      </c>
      <c r="Q11" s="49" t="s">
        <v>1499</v>
      </c>
    </row>
    <row r="12" spans="1:17" ht="57.75" customHeight="1" outlineLevel="1" x14ac:dyDescent="0.2">
      <c r="A12" s="55" t="s">
        <v>1500</v>
      </c>
      <c r="B12" s="56" t="s">
        <v>195</v>
      </c>
      <c r="C12" s="49" t="s">
        <v>1501</v>
      </c>
      <c r="D12" s="57" t="s">
        <v>242</v>
      </c>
      <c r="E12" s="49" t="s">
        <v>421</v>
      </c>
      <c r="F12" s="49" t="s">
        <v>287</v>
      </c>
      <c r="G12" s="49" t="s">
        <v>1502</v>
      </c>
      <c r="H12" s="49" t="s">
        <v>1503</v>
      </c>
      <c r="I12" s="58" t="s">
        <v>1504</v>
      </c>
      <c r="J12" s="69">
        <v>1</v>
      </c>
      <c r="K12" s="70" t="str">
        <f t="shared" si="0"/>
        <v>Documented</v>
      </c>
      <c r="L12" s="57"/>
      <c r="M12" s="59"/>
      <c r="N12" s="49" t="s">
        <v>1505</v>
      </c>
      <c r="O12" s="56" t="s">
        <v>281</v>
      </c>
      <c r="P12" s="49" t="s">
        <v>1506</v>
      </c>
      <c r="Q12" s="49" t="s">
        <v>1507</v>
      </c>
    </row>
    <row r="14" spans="1:17" ht="120" customHeight="1" x14ac:dyDescent="0.25">
      <c r="A14" s="63" t="s">
        <v>441</v>
      </c>
      <c r="C14" s="64" t="s">
        <v>1508</v>
      </c>
    </row>
    <row r="15" spans="1:17" ht="150" customHeight="1" x14ac:dyDescent="0.25">
      <c r="A15" s="63" t="s">
        <v>443</v>
      </c>
      <c r="C15" s="64" t="s">
        <v>1509</v>
      </c>
    </row>
    <row r="16" spans="1:17" ht="100" customHeight="1" x14ac:dyDescent="0.25">
      <c r="A16" s="63" t="s">
        <v>445</v>
      </c>
      <c r="C16" s="64" t="s">
        <v>1510</v>
      </c>
    </row>
    <row r="18" spans="1:3" ht="220" customHeight="1" x14ac:dyDescent="0.25">
      <c r="A18" s="87" t="s">
        <v>447</v>
      </c>
      <c r="C18" s="88" t="s">
        <v>1511</v>
      </c>
    </row>
  </sheetData>
  <conditionalFormatting sqref="J5:J12">
    <cfRule type="cellIs" dxfId="31" priority="1" operator="equal">
      <formula>0</formula>
    </cfRule>
    <cfRule type="cellIs" dxfId="30" priority="3" operator="equal">
      <formula>1</formula>
    </cfRule>
    <cfRule type="cellIs" dxfId="29" priority="5" operator="equal">
      <formula>2</formula>
    </cfRule>
    <cfRule type="cellIs" dxfId="28" priority="7" operator="equal">
      <formula>3</formula>
    </cfRule>
    <cfRule type="cellIs" dxfId="27" priority="9" operator="equal">
      <formula>4</formula>
    </cfRule>
    <cfRule type="cellIs" dxfId="26" priority="11" operator="equal">
      <formula>"N/A"</formula>
    </cfRule>
  </conditionalFormatting>
  <conditionalFormatting sqref="K5:K12">
    <cfRule type="expression" dxfId="25" priority="2">
      <formula>$J5=0</formula>
    </cfRule>
    <cfRule type="expression" dxfId="24" priority="4">
      <formula>$J5=1</formula>
    </cfRule>
    <cfRule type="expression" dxfId="23" priority="6">
      <formula>$J5=2</formula>
    </cfRule>
    <cfRule type="expression" dxfId="22" priority="8">
      <formula>$J5=3</formula>
    </cfRule>
    <cfRule type="expression" dxfId="21" priority="10">
      <formula>$J5=4</formula>
    </cfRule>
    <cfRule type="expression" dxfId="20" priority="12">
      <formula>$J5="N/A"</formula>
    </cfRule>
  </conditionalFormatting>
  <conditionalFormatting sqref="L5:L12">
    <cfRule type="expression" dxfId="19" priority="13">
      <formula>AND($J5="N/A",$L5="")</formula>
    </cfRule>
  </conditionalFormatting>
  <conditionalFormatting sqref="O5:O12">
    <cfRule type="cellIs" dxfId="18" priority="14" operator="equal">
      <formula>"Yes"</formula>
    </cfRule>
    <cfRule type="cellIs" dxfId="17" priority="15" operator="equal">
      <formula>"Partial"</formula>
    </cfRule>
    <cfRule type="cellIs" dxfId="16" priority="16" operator="equal">
      <formula>"No"</formula>
    </cfRule>
  </conditionalFormatting>
  <dataValidations count="2">
    <dataValidation type="list" allowBlank="1" showErrorMessage="1" errorTitle="Score out of range" error="Score each control 0 to 4, or N/A. See the scale on the Read Me tab." sqref="J5:J12" xr:uid="{00000000-0002-0000-0900-000000000000}">
      <formula1>"0,1,2,3,4,N/A"</formula1>
    </dataValidation>
    <dataValidation type="list" allowBlank="1" sqref="O5:O12" xr:uid="{00000000-0002-0000-0900-000001000000}">
      <formula1>"Yes,Partial,No"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Q22"/>
  <sheetViews>
    <sheetView showGridLines="0" zoomScale="85" workbookViewId="0">
      <pane ySplit="4" topLeftCell="A5" activePane="bottomLeft" state="frozen"/>
      <selection pane="bottomLeft"/>
    </sheetView>
  </sheetViews>
  <sheetFormatPr baseColWidth="10" defaultColWidth="8.83203125" defaultRowHeight="15" outlineLevelRow="1" x14ac:dyDescent="0.2"/>
  <cols>
    <col min="1" max="1" width="11" customWidth="1"/>
    <col min="2" max="2" width="9" customWidth="1"/>
    <col min="3" max="3" width="42" customWidth="1"/>
    <col min="4" max="4" width="15" customWidth="1"/>
    <col min="5" max="5" width="13" customWidth="1"/>
    <col min="6" max="6" width="14" customWidth="1"/>
    <col min="7" max="7" width="44" customWidth="1"/>
    <col min="8" max="8" width="28" customWidth="1"/>
    <col min="9" max="9" width="44" customWidth="1"/>
    <col min="10" max="10" width="15.6640625" customWidth="1"/>
    <col min="11" max="11" width="24.83203125" customWidth="1"/>
    <col min="12" max="12" width="34" customWidth="1"/>
    <col min="13" max="13" width="12" customWidth="1"/>
    <col min="14" max="14" width="40" customWidth="1"/>
    <col min="15" max="15" width="12" customWidth="1"/>
    <col min="16" max="16" width="58" customWidth="1"/>
  </cols>
  <sheetData>
    <row r="1" spans="1:17" ht="19" x14ac:dyDescent="0.25">
      <c r="A1" s="2" t="s">
        <v>1512</v>
      </c>
    </row>
    <row r="2" spans="1:17" ht="19" x14ac:dyDescent="0.25">
      <c r="A2" s="46" t="s">
        <v>1513</v>
      </c>
    </row>
    <row r="4" spans="1:17" ht="44" customHeight="1" x14ac:dyDescent="0.2">
      <c r="A4" s="47" t="s">
        <v>216</v>
      </c>
      <c r="B4" s="47" t="s">
        <v>30</v>
      </c>
      <c r="C4" s="47" t="s">
        <v>217</v>
      </c>
      <c r="D4" s="47" t="s">
        <v>218</v>
      </c>
      <c r="E4" s="47" t="s">
        <v>219</v>
      </c>
      <c r="F4" s="47" t="s">
        <v>220</v>
      </c>
      <c r="G4" s="47" t="s">
        <v>221</v>
      </c>
      <c r="H4" s="47" t="s">
        <v>222</v>
      </c>
      <c r="I4" s="47" t="s">
        <v>223</v>
      </c>
      <c r="J4" s="66" t="s">
        <v>224</v>
      </c>
      <c r="K4" s="66" t="s">
        <v>19</v>
      </c>
      <c r="L4" s="47" t="s">
        <v>225</v>
      </c>
      <c r="M4" s="47" t="s">
        <v>226</v>
      </c>
      <c r="N4" s="47" t="s">
        <v>227</v>
      </c>
      <c r="O4" s="47" t="s">
        <v>584</v>
      </c>
      <c r="P4" s="47" t="s">
        <v>585</v>
      </c>
      <c r="Q4" s="47" t="s">
        <v>230</v>
      </c>
    </row>
    <row r="5" spans="1:17" ht="19.5" customHeight="1" x14ac:dyDescent="0.2">
      <c r="A5" s="52" t="s">
        <v>197</v>
      </c>
      <c r="B5" s="52"/>
      <c r="C5" s="53" t="s">
        <v>1514</v>
      </c>
      <c r="D5" s="53"/>
      <c r="E5" s="53"/>
      <c r="F5" s="53"/>
      <c r="G5" s="53"/>
      <c r="H5" s="53"/>
      <c r="I5" s="53"/>
      <c r="J5" s="67">
        <f>IFERROR(ROUND(AVERAGE(J6:J10),1),"")</f>
        <v>1</v>
      </c>
      <c r="K5" s="68" t="str">
        <f>IF(COUNT(J6:J10)=0,IF(COUNTIF(J6:J10,"N/A")&gt;0,"all n/a","not scored"),COUNTIF(J6:J10,0)&amp;" gaps, "&amp;COUNTIFS(J6:J10,"&lt;3")&amp;" below 3")</f>
        <v>0 gaps, 5 below 3</v>
      </c>
      <c r="L5" s="53"/>
      <c r="M5" s="54"/>
      <c r="N5" s="53"/>
      <c r="O5" s="52" t="s">
        <v>1370</v>
      </c>
      <c r="P5" s="53"/>
      <c r="Q5" s="53"/>
    </row>
    <row r="6" spans="1:17" ht="57.75" customHeight="1" outlineLevel="1" x14ac:dyDescent="0.2">
      <c r="A6" s="55" t="s">
        <v>1515</v>
      </c>
      <c r="B6" s="56" t="s">
        <v>197</v>
      </c>
      <c r="C6" s="49" t="s">
        <v>1516</v>
      </c>
      <c r="D6" s="57" t="s">
        <v>242</v>
      </c>
      <c r="E6" s="49" t="s">
        <v>234</v>
      </c>
      <c r="F6" s="49" t="s">
        <v>296</v>
      </c>
      <c r="G6" s="49" t="s">
        <v>1517</v>
      </c>
      <c r="H6" s="49" t="s">
        <v>1518</v>
      </c>
      <c r="I6" s="58" t="s">
        <v>1519</v>
      </c>
      <c r="J6" s="69">
        <v>1</v>
      </c>
      <c r="K6" s="70" t="str">
        <f>IF(J6="","",IF(J6="N/A","Not applicable",CHOOSE(J6+1,"Gap","Documented","Implemented","Evidenced","Automated")))</f>
        <v>Documented</v>
      </c>
      <c r="L6" s="57"/>
      <c r="M6" s="59"/>
      <c r="N6" s="49" t="s">
        <v>1520</v>
      </c>
      <c r="O6" s="56" t="s">
        <v>281</v>
      </c>
      <c r="P6" s="49" t="s">
        <v>1521</v>
      </c>
      <c r="Q6" s="49" t="s">
        <v>1522</v>
      </c>
    </row>
    <row r="7" spans="1:17" ht="57.75" customHeight="1" outlineLevel="1" x14ac:dyDescent="0.2">
      <c r="A7" s="55" t="s">
        <v>1523</v>
      </c>
      <c r="B7" s="56" t="s">
        <v>197</v>
      </c>
      <c r="C7" s="49" t="s">
        <v>1524</v>
      </c>
      <c r="D7" s="57" t="s">
        <v>242</v>
      </c>
      <c r="E7" s="49" t="s">
        <v>258</v>
      </c>
      <c r="F7" s="49" t="s">
        <v>931</v>
      </c>
      <c r="G7" s="49" t="s">
        <v>1525</v>
      </c>
      <c r="H7" s="49" t="s">
        <v>1526</v>
      </c>
      <c r="I7" s="58" t="s">
        <v>1527</v>
      </c>
      <c r="J7" s="69">
        <v>1</v>
      </c>
      <c r="K7" s="70" t="str">
        <f>IF(J7="","",IF(J7="N/A","Not applicable",CHOOSE(J7+1,"Gap","Documented","Implemented","Evidenced","Automated")))</f>
        <v>Documented</v>
      </c>
      <c r="L7" s="57"/>
      <c r="M7" s="59"/>
      <c r="N7" s="49" t="s">
        <v>1528</v>
      </c>
      <c r="O7" s="56" t="s">
        <v>281</v>
      </c>
      <c r="P7" s="49" t="s">
        <v>1529</v>
      </c>
      <c r="Q7" s="49" t="s">
        <v>1530</v>
      </c>
    </row>
    <row r="8" spans="1:17" ht="57.75" customHeight="1" outlineLevel="1" x14ac:dyDescent="0.2">
      <c r="A8" s="55" t="s">
        <v>1531</v>
      </c>
      <c r="B8" s="56" t="s">
        <v>197</v>
      </c>
      <c r="C8" s="49" t="s">
        <v>1532</v>
      </c>
      <c r="D8" s="57" t="s">
        <v>242</v>
      </c>
      <c r="E8" s="49" t="s">
        <v>750</v>
      </c>
      <c r="F8" s="49" t="s">
        <v>914</v>
      </c>
      <c r="G8" s="49" t="s">
        <v>1533</v>
      </c>
      <c r="H8" s="49" t="s">
        <v>1534</v>
      </c>
      <c r="I8" s="58" t="s">
        <v>1535</v>
      </c>
      <c r="J8" s="69">
        <v>1</v>
      </c>
      <c r="K8" s="70" t="str">
        <f>IF(J8="","",IF(J8="N/A","Not applicable",CHOOSE(J8+1,"Gap","Documented","Implemented","Evidenced","Automated")))</f>
        <v>Documented</v>
      </c>
      <c r="L8" s="57"/>
      <c r="M8" s="59"/>
      <c r="N8" s="49" t="s">
        <v>1536</v>
      </c>
      <c r="O8" s="56" t="s">
        <v>281</v>
      </c>
      <c r="P8" s="49" t="s">
        <v>1537</v>
      </c>
      <c r="Q8" s="49" t="s">
        <v>1538</v>
      </c>
    </row>
    <row r="9" spans="1:17" ht="57.75" customHeight="1" outlineLevel="1" x14ac:dyDescent="0.2">
      <c r="A9" s="55" t="s">
        <v>1539</v>
      </c>
      <c r="B9" s="56" t="s">
        <v>197</v>
      </c>
      <c r="C9" s="49" t="s">
        <v>1540</v>
      </c>
      <c r="D9" s="57" t="s">
        <v>233</v>
      </c>
      <c r="E9" s="49" t="s">
        <v>234</v>
      </c>
      <c r="F9" s="49" t="s">
        <v>296</v>
      </c>
      <c r="G9" s="49" t="s">
        <v>1541</v>
      </c>
      <c r="H9" s="49" t="s">
        <v>1542</v>
      </c>
      <c r="I9" s="58" t="s">
        <v>1543</v>
      </c>
      <c r="J9" s="69">
        <v>1</v>
      </c>
      <c r="K9" s="70" t="str">
        <f>IF(J9="","",IF(J9="N/A","Not applicable",CHOOSE(J9+1,"Gap","Documented","Implemented","Evidenced","Automated")))</f>
        <v>Documented</v>
      </c>
      <c r="L9" s="57"/>
      <c r="M9" s="59"/>
      <c r="N9" s="49" t="s">
        <v>1544</v>
      </c>
      <c r="O9" s="56" t="s">
        <v>34</v>
      </c>
      <c r="P9" s="49" t="s">
        <v>1545</v>
      </c>
      <c r="Q9" s="49" t="s">
        <v>1546</v>
      </c>
    </row>
    <row r="10" spans="1:17" ht="57.75" customHeight="1" outlineLevel="1" x14ac:dyDescent="0.2">
      <c r="A10" s="55" t="s">
        <v>1547</v>
      </c>
      <c r="B10" s="56" t="s">
        <v>197</v>
      </c>
      <c r="C10" s="49" t="s">
        <v>1548</v>
      </c>
      <c r="D10" s="57" t="s">
        <v>233</v>
      </c>
      <c r="E10" s="49" t="s">
        <v>1549</v>
      </c>
      <c r="F10" s="49" t="s">
        <v>296</v>
      </c>
      <c r="G10" s="49" t="s">
        <v>1550</v>
      </c>
      <c r="H10" s="49" t="s">
        <v>1551</v>
      </c>
      <c r="I10" s="58" t="s">
        <v>1552</v>
      </c>
      <c r="J10" s="69">
        <v>1</v>
      </c>
      <c r="K10" s="70" t="str">
        <f>IF(J10="","",IF(J10="N/A","Not applicable",CHOOSE(J10+1,"Gap","Documented","Implemented","Evidenced","Automated")))</f>
        <v>Documented</v>
      </c>
      <c r="L10" s="57"/>
      <c r="M10" s="59"/>
      <c r="N10" s="49" t="s">
        <v>1553</v>
      </c>
      <c r="O10" s="56" t="s">
        <v>281</v>
      </c>
      <c r="P10" s="49" t="s">
        <v>1554</v>
      </c>
      <c r="Q10" s="49" t="s">
        <v>1555</v>
      </c>
    </row>
    <row r="11" spans="1:17" ht="19.5" customHeight="1" x14ac:dyDescent="0.2">
      <c r="A11" s="52" t="s">
        <v>198</v>
      </c>
      <c r="B11" s="52"/>
      <c r="C11" s="53" t="s">
        <v>1556</v>
      </c>
      <c r="D11" s="53"/>
      <c r="E11" s="53"/>
      <c r="F11" s="53"/>
      <c r="G11" s="53"/>
      <c r="H11" s="53"/>
      <c r="I11" s="53"/>
      <c r="J11" s="67">
        <f>IFERROR(ROUND(AVERAGE(J12:J16),1),"")</f>
        <v>1</v>
      </c>
      <c r="K11" s="68" t="str">
        <f>IF(COUNT(J12:J16)=0,IF(COUNTIF(J12:J16,"N/A")&gt;0,"all n/a","not scored"),COUNTIF(J12:J16,0)&amp;" gaps, "&amp;COUNTIFS(J12:J16,"&lt;3")&amp;" below 3")</f>
        <v>0 gaps, 5 below 3</v>
      </c>
      <c r="L11" s="53"/>
      <c r="M11" s="54"/>
      <c r="N11" s="53"/>
      <c r="O11" s="52" t="s">
        <v>452</v>
      </c>
      <c r="P11" s="53"/>
      <c r="Q11" s="53"/>
    </row>
    <row r="12" spans="1:17" ht="57.75" customHeight="1" outlineLevel="1" x14ac:dyDescent="0.2">
      <c r="A12" s="55" t="s">
        <v>1557</v>
      </c>
      <c r="B12" s="56" t="s">
        <v>198</v>
      </c>
      <c r="C12" s="49" t="s">
        <v>1558</v>
      </c>
      <c r="D12" s="57" t="s">
        <v>242</v>
      </c>
      <c r="E12" s="49" t="s">
        <v>234</v>
      </c>
      <c r="F12" s="49" t="s">
        <v>244</v>
      </c>
      <c r="G12" s="49" t="s">
        <v>1559</v>
      </c>
      <c r="H12" s="49" t="s">
        <v>1560</v>
      </c>
      <c r="I12" s="58" t="s">
        <v>1561</v>
      </c>
      <c r="J12" s="69">
        <v>1</v>
      </c>
      <c r="K12" s="70" t="str">
        <f>IF(J12="","",IF(J12="N/A","Not applicable",CHOOSE(J12+1,"Gap","Documented","Implemented","Evidenced","Automated")))</f>
        <v>Documented</v>
      </c>
      <c r="L12" s="57"/>
      <c r="M12" s="59"/>
      <c r="N12" s="49" t="s">
        <v>1562</v>
      </c>
      <c r="O12" s="56" t="s">
        <v>281</v>
      </c>
      <c r="P12" s="49" t="s">
        <v>1563</v>
      </c>
      <c r="Q12" s="49" t="s">
        <v>1564</v>
      </c>
    </row>
    <row r="13" spans="1:17" ht="57.75" customHeight="1" outlineLevel="1" x14ac:dyDescent="0.2">
      <c r="A13" s="55" t="s">
        <v>1565</v>
      </c>
      <c r="B13" s="56" t="s">
        <v>198</v>
      </c>
      <c r="C13" s="49" t="s">
        <v>1566</v>
      </c>
      <c r="D13" s="57" t="s">
        <v>242</v>
      </c>
      <c r="E13" s="49" t="s">
        <v>1567</v>
      </c>
      <c r="F13" s="49" t="s">
        <v>244</v>
      </c>
      <c r="G13" s="49" t="s">
        <v>1568</v>
      </c>
      <c r="H13" s="49" t="s">
        <v>1569</v>
      </c>
      <c r="I13" s="58" t="s">
        <v>1570</v>
      </c>
      <c r="J13" s="69">
        <v>1</v>
      </c>
      <c r="K13" s="70" t="str">
        <f>IF(J13="","",IF(J13="N/A","Not applicable",CHOOSE(J13+1,"Gap","Documented","Implemented","Evidenced","Automated")))</f>
        <v>Documented</v>
      </c>
      <c r="L13" s="57"/>
      <c r="M13" s="59"/>
      <c r="N13" s="49" t="s">
        <v>1571</v>
      </c>
      <c r="O13" s="56" t="s">
        <v>281</v>
      </c>
      <c r="P13" s="49" t="s">
        <v>1572</v>
      </c>
      <c r="Q13" s="49" t="s">
        <v>1573</v>
      </c>
    </row>
    <row r="14" spans="1:17" ht="57.75" customHeight="1" outlineLevel="1" x14ac:dyDescent="0.2">
      <c r="A14" s="55" t="s">
        <v>1574</v>
      </c>
      <c r="B14" s="56" t="s">
        <v>198</v>
      </c>
      <c r="C14" s="49" t="s">
        <v>1575</v>
      </c>
      <c r="D14" s="57" t="s">
        <v>242</v>
      </c>
      <c r="E14" s="49" t="s">
        <v>234</v>
      </c>
      <c r="F14" s="49" t="s">
        <v>296</v>
      </c>
      <c r="G14" s="49" t="s">
        <v>1576</v>
      </c>
      <c r="H14" s="49" t="s">
        <v>1577</v>
      </c>
      <c r="I14" s="58" t="s">
        <v>1578</v>
      </c>
      <c r="J14" s="69">
        <v>1</v>
      </c>
      <c r="K14" s="70" t="str">
        <f>IF(J14="","",IF(J14="N/A","Not applicable",CHOOSE(J14+1,"Gap","Documented","Implemented","Evidenced","Automated")))</f>
        <v>Documented</v>
      </c>
      <c r="L14" s="57"/>
      <c r="M14" s="59"/>
      <c r="N14" s="49" t="s">
        <v>1579</v>
      </c>
      <c r="O14" s="56" t="s">
        <v>281</v>
      </c>
      <c r="P14" s="49" t="s">
        <v>1580</v>
      </c>
      <c r="Q14" s="49" t="s">
        <v>1581</v>
      </c>
    </row>
    <row r="15" spans="1:17" ht="57.75" customHeight="1" outlineLevel="1" x14ac:dyDescent="0.2">
      <c r="A15" s="55" t="s">
        <v>1582</v>
      </c>
      <c r="B15" s="56" t="s">
        <v>198</v>
      </c>
      <c r="C15" s="49" t="s">
        <v>1583</v>
      </c>
      <c r="D15" s="57" t="s">
        <v>242</v>
      </c>
      <c r="E15" s="49" t="s">
        <v>1584</v>
      </c>
      <c r="F15" s="49" t="s">
        <v>244</v>
      </c>
      <c r="G15" s="49" t="s">
        <v>1585</v>
      </c>
      <c r="H15" s="49" t="s">
        <v>1586</v>
      </c>
      <c r="I15" s="58" t="s">
        <v>1587</v>
      </c>
      <c r="J15" s="69">
        <v>1</v>
      </c>
      <c r="K15" s="70" t="str">
        <f>IF(J15="","",IF(J15="N/A","Not applicable",CHOOSE(J15+1,"Gap","Documented","Implemented","Evidenced","Automated")))</f>
        <v>Documented</v>
      </c>
      <c r="L15" s="57"/>
      <c r="M15" s="59"/>
      <c r="N15" s="49" t="s">
        <v>1588</v>
      </c>
      <c r="O15" s="56" t="s">
        <v>281</v>
      </c>
      <c r="P15" s="49" t="s">
        <v>1589</v>
      </c>
      <c r="Q15" s="49" t="s">
        <v>1590</v>
      </c>
    </row>
    <row r="16" spans="1:17" ht="57.75" customHeight="1" outlineLevel="1" x14ac:dyDescent="0.2">
      <c r="A16" s="55" t="s">
        <v>1591</v>
      </c>
      <c r="B16" s="56" t="s">
        <v>198</v>
      </c>
      <c r="C16" s="49" t="s">
        <v>1592</v>
      </c>
      <c r="D16" s="57" t="s">
        <v>242</v>
      </c>
      <c r="E16" s="49" t="s">
        <v>1593</v>
      </c>
      <c r="F16" s="49" t="s">
        <v>244</v>
      </c>
      <c r="G16" s="49" t="s">
        <v>1594</v>
      </c>
      <c r="H16" s="49" t="s">
        <v>1595</v>
      </c>
      <c r="I16" s="58" t="s">
        <v>1596</v>
      </c>
      <c r="J16" s="69">
        <v>1</v>
      </c>
      <c r="K16" s="70" t="str">
        <f>IF(J16="","",IF(J16="N/A","Not applicable",CHOOSE(J16+1,"Gap","Documented","Implemented","Evidenced","Automated")))</f>
        <v>Documented</v>
      </c>
      <c r="L16" s="57"/>
      <c r="M16" s="59"/>
      <c r="N16" s="49" t="s">
        <v>1597</v>
      </c>
      <c r="O16" s="56" t="s">
        <v>281</v>
      </c>
      <c r="P16" s="49" t="s">
        <v>1598</v>
      </c>
      <c r="Q16" s="49" t="s">
        <v>1599</v>
      </c>
    </row>
    <row r="18" spans="1:3" ht="120" customHeight="1" x14ac:dyDescent="0.25">
      <c r="A18" s="63" t="s">
        <v>441</v>
      </c>
      <c r="C18" s="64" t="s">
        <v>1600</v>
      </c>
    </row>
    <row r="19" spans="1:3" ht="150" customHeight="1" x14ac:dyDescent="0.25">
      <c r="A19" s="63" t="s">
        <v>443</v>
      </c>
      <c r="C19" s="64" t="s">
        <v>1601</v>
      </c>
    </row>
    <row r="20" spans="1:3" ht="100" customHeight="1" x14ac:dyDescent="0.25">
      <c r="A20" s="63" t="s">
        <v>445</v>
      </c>
      <c r="C20" s="64" t="s">
        <v>873</v>
      </c>
    </row>
    <row r="22" spans="1:3" ht="220" customHeight="1" x14ac:dyDescent="0.25">
      <c r="A22" s="87" t="s">
        <v>447</v>
      </c>
      <c r="C22" s="88" t="s">
        <v>1602</v>
      </c>
    </row>
  </sheetData>
  <conditionalFormatting sqref="J5:J16">
    <cfRule type="cellIs" dxfId="15" priority="1" operator="equal">
      <formula>0</formula>
    </cfRule>
    <cfRule type="cellIs" dxfId="14" priority="3" operator="equal">
      <formula>1</formula>
    </cfRule>
    <cfRule type="cellIs" dxfId="13" priority="5" operator="equal">
      <formula>2</formula>
    </cfRule>
    <cfRule type="cellIs" dxfId="12" priority="7" operator="equal">
      <formula>3</formula>
    </cfRule>
    <cfRule type="cellIs" dxfId="11" priority="9" operator="equal">
      <formula>4</formula>
    </cfRule>
    <cfRule type="cellIs" dxfId="10" priority="11" operator="equal">
      <formula>"N/A"</formula>
    </cfRule>
  </conditionalFormatting>
  <conditionalFormatting sqref="K5:K16">
    <cfRule type="expression" dxfId="9" priority="2">
      <formula>$J5=0</formula>
    </cfRule>
    <cfRule type="expression" dxfId="8" priority="4">
      <formula>$J5=1</formula>
    </cfRule>
    <cfRule type="expression" dxfId="7" priority="6">
      <formula>$J5=2</formula>
    </cfRule>
    <cfRule type="expression" dxfId="6" priority="8">
      <formula>$J5=3</formula>
    </cfRule>
    <cfRule type="expression" dxfId="5" priority="10">
      <formula>$J5=4</formula>
    </cfRule>
    <cfRule type="expression" dxfId="4" priority="12">
      <formula>$J5="N/A"</formula>
    </cfRule>
  </conditionalFormatting>
  <conditionalFormatting sqref="L5:L16">
    <cfRule type="expression" dxfId="3" priority="13">
      <formula>AND($J5="N/A",$L5="")</formula>
    </cfRule>
  </conditionalFormatting>
  <conditionalFormatting sqref="O5:O16">
    <cfRule type="cellIs" dxfId="2" priority="14" operator="equal">
      <formula>"Yes"</formula>
    </cfRule>
    <cfRule type="cellIs" dxfId="1" priority="15" operator="equal">
      <formula>"Partial"</formula>
    </cfRule>
    <cfRule type="cellIs" dxfId="0" priority="16" operator="equal">
      <formula>"No"</formula>
    </cfRule>
  </conditionalFormatting>
  <dataValidations count="2">
    <dataValidation type="list" allowBlank="1" showErrorMessage="1" errorTitle="Score out of range" error="Score each control 0 to 4, or N/A. See the scale on the Read Me tab." sqref="J5:J16" xr:uid="{00000000-0002-0000-0A00-000000000000}">
      <formula1>"0,1,2,3,4,N/A"</formula1>
    </dataValidation>
    <dataValidation type="list" allowBlank="1" sqref="O5:O16" xr:uid="{00000000-0002-0000-0A00-000001000000}">
      <formula1>"Yes,Partial,No"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9"/>
  <sheetViews>
    <sheetView showGridLines="0" zoomScaleNormal="100" workbookViewId="0">
      <pane ySplit="4" topLeftCell="A10" activePane="bottomLeft" state="frozen"/>
      <selection pane="bottomLeft" activeCell="F4" sqref="F4:H4"/>
    </sheetView>
  </sheetViews>
  <sheetFormatPr baseColWidth="10" defaultColWidth="8.6640625" defaultRowHeight="17" x14ac:dyDescent="0.2"/>
  <cols>
    <col min="1" max="1" width="5" style="9" customWidth="1"/>
    <col min="2" max="2" width="30" style="9" customWidth="1"/>
    <col min="3" max="3" width="68" style="9" customWidth="1"/>
    <col min="4" max="4" width="52" style="9" customWidth="1"/>
    <col min="5" max="5" width="22" style="9" customWidth="1"/>
    <col min="6" max="7" width="8.6640625" style="9" customWidth="1"/>
    <col min="8" max="16384" width="8.6640625" style="9"/>
  </cols>
  <sheetData>
    <row r="1" spans="1:9" x14ac:dyDescent="0.2">
      <c r="A1" s="8" t="s">
        <v>1603</v>
      </c>
    </row>
    <row r="2" spans="1:9" x14ac:dyDescent="0.2">
      <c r="A2" s="10" t="s">
        <v>1604</v>
      </c>
    </row>
    <row r="4" spans="1:9" ht="18" customHeight="1" x14ac:dyDescent="0.2">
      <c r="A4" s="38" t="s">
        <v>1605</v>
      </c>
      <c r="B4" s="38" t="s">
        <v>1606</v>
      </c>
      <c r="C4" s="38" t="s">
        <v>1607</v>
      </c>
      <c r="D4" s="38" t="s">
        <v>1608</v>
      </c>
      <c r="E4" s="38" t="s">
        <v>1609</v>
      </c>
      <c r="F4" s="99" t="s">
        <v>1610</v>
      </c>
      <c r="G4" s="99" t="s">
        <v>1611</v>
      </c>
      <c r="H4" s="99" t="s">
        <v>1612</v>
      </c>
    </row>
    <row r="5" spans="1:9" ht="57.75" customHeight="1" x14ac:dyDescent="0.2">
      <c r="A5" s="39">
        <v>1</v>
      </c>
      <c r="B5" s="43" t="s">
        <v>1613</v>
      </c>
      <c r="C5" s="40" t="s">
        <v>1614</v>
      </c>
      <c r="D5" s="40" t="s">
        <v>1615</v>
      </c>
      <c r="E5" s="40" t="s">
        <v>1616</v>
      </c>
      <c r="F5" s="9" t="s">
        <v>1617</v>
      </c>
      <c r="G5" s="77" t="s">
        <v>1618</v>
      </c>
      <c r="H5" s="77"/>
      <c r="I5" s="77"/>
    </row>
    <row r="6" spans="1:9" ht="57.75" customHeight="1" x14ac:dyDescent="0.2">
      <c r="A6" s="41">
        <v>2</v>
      </c>
      <c r="B6" s="44" t="s">
        <v>1619</v>
      </c>
      <c r="C6" s="42" t="s">
        <v>1620</v>
      </c>
      <c r="D6" s="42" t="s">
        <v>1621</v>
      </c>
      <c r="E6" s="42" t="s">
        <v>1622</v>
      </c>
      <c r="F6" s="9" t="s">
        <v>1617</v>
      </c>
    </row>
    <row r="7" spans="1:9" ht="57.75" customHeight="1" x14ac:dyDescent="0.2">
      <c r="A7" s="39">
        <v>3</v>
      </c>
      <c r="B7" s="43" t="s">
        <v>1623</v>
      </c>
      <c r="C7" s="40" t="s">
        <v>1624</v>
      </c>
      <c r="D7" s="40" t="s">
        <v>1625</v>
      </c>
      <c r="E7" s="40" t="s">
        <v>1626</v>
      </c>
      <c r="F7" s="9" t="s">
        <v>1627</v>
      </c>
    </row>
    <row r="8" spans="1:9" ht="57.75" customHeight="1" x14ac:dyDescent="0.2">
      <c r="A8" s="41">
        <v>4</v>
      </c>
      <c r="B8" s="44" t="s">
        <v>1628</v>
      </c>
      <c r="C8" s="42" t="s">
        <v>1629</v>
      </c>
      <c r="D8" s="42" t="s">
        <v>1630</v>
      </c>
      <c r="E8" s="42" t="s">
        <v>1631</v>
      </c>
      <c r="F8" s="9" t="s">
        <v>1627</v>
      </c>
    </row>
    <row r="9" spans="1:9" ht="57.75" customHeight="1" x14ac:dyDescent="0.2">
      <c r="A9" s="39">
        <v>5</v>
      </c>
      <c r="B9" s="43" t="s">
        <v>1632</v>
      </c>
      <c r="C9" s="40" t="s">
        <v>1633</v>
      </c>
      <c r="D9" s="40" t="s">
        <v>1634</v>
      </c>
      <c r="E9" s="40" t="s">
        <v>55</v>
      </c>
      <c r="F9" s="9" t="s">
        <v>1627</v>
      </c>
      <c r="G9" s="9" t="s">
        <v>1635</v>
      </c>
    </row>
    <row r="10" spans="1:9" ht="57.75" customHeight="1" x14ac:dyDescent="0.2">
      <c r="A10" s="41">
        <v>6</v>
      </c>
      <c r="B10" s="44" t="s">
        <v>1636</v>
      </c>
      <c r="C10" s="42" t="s">
        <v>1637</v>
      </c>
      <c r="D10" s="42" t="s">
        <v>1638</v>
      </c>
      <c r="E10" s="42" t="s">
        <v>1639</v>
      </c>
      <c r="F10" s="9" t="s">
        <v>466</v>
      </c>
    </row>
    <row r="11" spans="1:9" ht="57.75" customHeight="1" x14ac:dyDescent="0.2">
      <c r="A11" s="39">
        <v>7</v>
      </c>
      <c r="B11" s="43" t="s">
        <v>1640</v>
      </c>
      <c r="C11" s="40" t="s">
        <v>1641</v>
      </c>
      <c r="D11" s="40" t="s">
        <v>1642</v>
      </c>
      <c r="E11" s="40" t="s">
        <v>1643</v>
      </c>
      <c r="F11" s="9" t="s">
        <v>1644</v>
      </c>
      <c r="G11" s="9" t="s">
        <v>1645</v>
      </c>
    </row>
    <row r="12" spans="1:9" ht="57.75" customHeight="1" x14ac:dyDescent="0.2">
      <c r="A12" s="41">
        <v>8</v>
      </c>
      <c r="B12" s="44" t="s">
        <v>1646</v>
      </c>
      <c r="C12" s="42" t="s">
        <v>1647</v>
      </c>
      <c r="D12" s="42" t="s">
        <v>1648</v>
      </c>
      <c r="E12" s="42" t="s">
        <v>1649</v>
      </c>
      <c r="F12" s="9" t="s">
        <v>466</v>
      </c>
    </row>
    <row r="13" spans="1:9" ht="57.75" customHeight="1" x14ac:dyDescent="0.2">
      <c r="A13" s="39">
        <v>9</v>
      </c>
      <c r="B13" s="43" t="s">
        <v>1650</v>
      </c>
      <c r="C13" s="40" t="s">
        <v>1651</v>
      </c>
      <c r="D13" s="40" t="s">
        <v>1652</v>
      </c>
      <c r="E13" s="40" t="s">
        <v>1653</v>
      </c>
      <c r="F13" s="9" t="s">
        <v>466</v>
      </c>
    </row>
    <row r="14" spans="1:9" ht="57.75" customHeight="1" x14ac:dyDescent="0.2">
      <c r="A14" s="41">
        <v>10</v>
      </c>
      <c r="B14" s="44" t="s">
        <v>1654</v>
      </c>
      <c r="C14" s="42" t="s">
        <v>1655</v>
      </c>
      <c r="D14" s="42" t="s">
        <v>1656</v>
      </c>
      <c r="E14" s="42" t="s">
        <v>302</v>
      </c>
      <c r="F14" s="9" t="s">
        <v>1627</v>
      </c>
    </row>
    <row r="15" spans="1:9" ht="57.75" customHeight="1" x14ac:dyDescent="0.2">
      <c r="A15" s="39">
        <v>11</v>
      </c>
      <c r="B15" s="43" t="s">
        <v>1657</v>
      </c>
      <c r="C15" s="40" t="s">
        <v>1658</v>
      </c>
      <c r="D15" s="40" t="s">
        <v>1659</v>
      </c>
      <c r="E15" s="40" t="s">
        <v>428</v>
      </c>
      <c r="F15" s="9" t="s">
        <v>1644</v>
      </c>
    </row>
    <row r="16" spans="1:9" ht="57.75" customHeight="1" x14ac:dyDescent="0.2">
      <c r="A16" s="41">
        <v>12</v>
      </c>
      <c r="B16" s="44" t="s">
        <v>1660</v>
      </c>
      <c r="C16" s="42" t="s">
        <v>1661</v>
      </c>
      <c r="D16" s="42" t="s">
        <v>1662</v>
      </c>
      <c r="E16" s="42" t="s">
        <v>1663</v>
      </c>
      <c r="F16" s="9" t="s">
        <v>1664</v>
      </c>
    </row>
    <row r="18" spans="1:9" x14ac:dyDescent="0.2">
      <c r="A18" s="9">
        <v>13</v>
      </c>
      <c r="B18" s="9" t="s">
        <v>1665</v>
      </c>
      <c r="C18" s="9" t="s">
        <v>1666</v>
      </c>
      <c r="D18" s="9" t="s">
        <v>1667</v>
      </c>
      <c r="E18" t="s">
        <v>1668</v>
      </c>
    </row>
    <row r="19" spans="1:9" ht="57.75" customHeight="1" x14ac:dyDescent="0.2">
      <c r="A19" s="39">
        <v>14</v>
      </c>
      <c r="B19" s="43" t="s">
        <v>1669</v>
      </c>
      <c r="C19" s="40" t="s">
        <v>1670</v>
      </c>
      <c r="D19" s="40" t="s">
        <v>1671</v>
      </c>
      <c r="E19" s="40" t="s">
        <v>453</v>
      </c>
      <c r="F19" s="9" t="s">
        <v>1664</v>
      </c>
      <c r="G19" s="77"/>
      <c r="H19" s="77"/>
      <c r="I19" s="77"/>
    </row>
    <row r="20" spans="1:9" ht="57.75" customHeight="1" x14ac:dyDescent="0.2">
      <c r="A20" s="39">
        <v>15</v>
      </c>
      <c r="B20" s="43" t="s">
        <v>1672</v>
      </c>
      <c r="C20" s="40" t="s">
        <v>1673</v>
      </c>
      <c r="D20" s="40" t="s">
        <v>1674</v>
      </c>
      <c r="E20" s="40" t="s">
        <v>476</v>
      </c>
      <c r="F20" s="9" t="s">
        <v>1675</v>
      </c>
      <c r="G20" s="77"/>
      <c r="H20" s="77"/>
      <c r="I20" s="77"/>
    </row>
    <row r="21" spans="1:9" ht="57.75" customHeight="1" x14ac:dyDescent="0.2">
      <c r="A21" s="39">
        <v>16</v>
      </c>
      <c r="B21" s="43" t="s">
        <v>1676</v>
      </c>
      <c r="C21" s="40" t="s">
        <v>1677</v>
      </c>
      <c r="D21" s="40" t="s">
        <v>1678</v>
      </c>
      <c r="E21" s="40" t="s">
        <v>469</v>
      </c>
      <c r="F21" s="9" t="s">
        <v>466</v>
      </c>
      <c r="G21" s="77"/>
      <c r="H21" s="77"/>
      <c r="I21" s="77"/>
    </row>
    <row r="22" spans="1:9" ht="57.75" customHeight="1" x14ac:dyDescent="0.2">
      <c r="A22" s="39">
        <v>17</v>
      </c>
      <c r="B22" s="43" t="s">
        <v>1679</v>
      </c>
      <c r="C22" s="40" t="s">
        <v>1680</v>
      </c>
      <c r="D22" s="40" t="s">
        <v>1681</v>
      </c>
      <c r="E22" s="40" t="s">
        <v>484</v>
      </c>
      <c r="F22" s="9" t="s">
        <v>1627</v>
      </c>
      <c r="G22" s="77"/>
      <c r="H22" s="77"/>
      <c r="I22" s="77"/>
    </row>
    <row r="23" spans="1:9" ht="57.75" customHeight="1" x14ac:dyDescent="0.2">
      <c r="A23" s="39">
        <v>18</v>
      </c>
      <c r="B23" s="43" t="s">
        <v>1682</v>
      </c>
      <c r="C23" s="40" t="s">
        <v>1683</v>
      </c>
      <c r="D23" s="40" t="s">
        <v>1684</v>
      </c>
      <c r="E23" s="40" t="s">
        <v>537</v>
      </c>
      <c r="F23" s="9" t="s">
        <v>1685</v>
      </c>
      <c r="G23" s="77"/>
      <c r="H23" s="77"/>
      <c r="I23" s="77"/>
    </row>
    <row r="24" spans="1:9" ht="57.75" customHeight="1" x14ac:dyDescent="0.2">
      <c r="A24" s="39">
        <v>19</v>
      </c>
      <c r="B24" s="43" t="s">
        <v>1686</v>
      </c>
      <c r="C24" s="40" t="s">
        <v>1687</v>
      </c>
      <c r="D24" s="40" t="s">
        <v>1688</v>
      </c>
      <c r="E24" s="40" t="s">
        <v>1689</v>
      </c>
      <c r="F24" s="9" t="s">
        <v>1690</v>
      </c>
      <c r="G24" s="77"/>
      <c r="H24" s="77"/>
      <c r="I24" s="77"/>
    </row>
    <row r="25" spans="1:9" ht="57.75" customHeight="1" x14ac:dyDescent="0.2">
      <c r="A25" s="39">
        <v>20</v>
      </c>
      <c r="B25" s="43" t="s">
        <v>1691</v>
      </c>
      <c r="C25" s="40" t="s">
        <v>1692</v>
      </c>
      <c r="D25" s="40" t="s">
        <v>1693</v>
      </c>
      <c r="E25" s="40" t="s">
        <v>1694</v>
      </c>
      <c r="F25" s="9" t="s">
        <v>1617</v>
      </c>
      <c r="G25" s="77"/>
      <c r="H25" s="77"/>
      <c r="I25" s="77"/>
    </row>
    <row r="26" spans="1:9" ht="57.75" customHeight="1" x14ac:dyDescent="0.2">
      <c r="A26" s="39">
        <v>21</v>
      </c>
      <c r="B26" s="43" t="s">
        <v>1695</v>
      </c>
      <c r="C26" s="40" t="s">
        <v>1696</v>
      </c>
      <c r="D26" s="40" t="s">
        <v>1697</v>
      </c>
      <c r="E26" s="40" t="s">
        <v>1698</v>
      </c>
      <c r="G26" s="77"/>
      <c r="H26" s="77"/>
    </row>
    <row r="27" spans="1:9" ht="57.75" customHeight="1" x14ac:dyDescent="0.2">
      <c r="A27" s="39">
        <v>22</v>
      </c>
      <c r="B27" s="43" t="s">
        <v>1699</v>
      </c>
      <c r="C27" s="40" t="s">
        <v>1700</v>
      </c>
      <c r="D27" s="40" t="s">
        <v>1701</v>
      </c>
      <c r="E27" s="40" t="s">
        <v>1702</v>
      </c>
      <c r="G27" s="77"/>
      <c r="H27" s="77"/>
    </row>
    <row r="28" spans="1:9" ht="57.75" customHeight="1" x14ac:dyDescent="0.2">
      <c r="A28" s="39">
        <v>23</v>
      </c>
      <c r="B28" s="43" t="s">
        <v>1703</v>
      </c>
      <c r="C28" s="40" t="s">
        <v>1704</v>
      </c>
      <c r="D28" s="40" t="s">
        <v>1705</v>
      </c>
      <c r="E28" s="40" t="s">
        <v>1706</v>
      </c>
      <c r="G28" s="77"/>
      <c r="H28" s="77"/>
    </row>
    <row r="29" spans="1:9" ht="57.75" customHeight="1" x14ac:dyDescent="0.2">
      <c r="A29" s="39">
        <v>24</v>
      </c>
      <c r="B29" s="43" t="s">
        <v>1707</v>
      </c>
      <c r="C29" s="40" t="s">
        <v>1708</v>
      </c>
      <c r="D29" s="40" t="s">
        <v>1709</v>
      </c>
      <c r="E29" s="40" t="s">
        <v>1710</v>
      </c>
      <c r="G29" s="77"/>
      <c r="H29" s="77"/>
    </row>
    <row r="30" spans="1:9" ht="57.75" customHeight="1" x14ac:dyDescent="0.2">
      <c r="A30" s="39">
        <v>25</v>
      </c>
      <c r="B30" s="43" t="s">
        <v>1711</v>
      </c>
      <c r="C30" s="40" t="s">
        <v>1712</v>
      </c>
      <c r="D30" s="40" t="s">
        <v>1713</v>
      </c>
      <c r="E30" s="40" t="s">
        <v>1714</v>
      </c>
      <c r="G30" s="77"/>
      <c r="H30" s="77"/>
    </row>
    <row r="31" spans="1:9" ht="57.75" customHeight="1" x14ac:dyDescent="0.2">
      <c r="A31" s="39">
        <v>26</v>
      </c>
      <c r="B31" s="43" t="s">
        <v>1715</v>
      </c>
      <c r="C31" s="40" t="s">
        <v>1716</v>
      </c>
      <c r="D31" s="40" t="s">
        <v>1717</v>
      </c>
      <c r="E31" s="40" t="s">
        <v>1718</v>
      </c>
      <c r="G31" s="77"/>
      <c r="H31" s="77"/>
    </row>
    <row r="32" spans="1:9" ht="57.75" customHeight="1" x14ac:dyDescent="0.2">
      <c r="A32" s="39">
        <v>27</v>
      </c>
      <c r="B32" s="43" t="s">
        <v>1719</v>
      </c>
      <c r="C32" s="40" t="s">
        <v>1720</v>
      </c>
      <c r="D32" s="40" t="s">
        <v>1721</v>
      </c>
      <c r="E32" s="40" t="s">
        <v>1722</v>
      </c>
      <c r="G32" s="77"/>
      <c r="H32" s="77"/>
    </row>
    <row r="33" spans="1:8" ht="57.75" customHeight="1" x14ac:dyDescent="0.2">
      <c r="A33" s="39">
        <v>28</v>
      </c>
      <c r="B33" s="43" t="s">
        <v>1723</v>
      </c>
      <c r="C33" s="40" t="s">
        <v>1724</v>
      </c>
      <c r="D33" s="40" t="s">
        <v>1725</v>
      </c>
      <c r="E33" s="40" t="s">
        <v>1726</v>
      </c>
      <c r="G33" s="77"/>
      <c r="H33" s="77"/>
    </row>
    <row r="34" spans="1:8" ht="57.75" customHeight="1" x14ac:dyDescent="0.2">
      <c r="A34" s="39">
        <v>29</v>
      </c>
      <c r="B34" s="43" t="s">
        <v>1727</v>
      </c>
      <c r="C34" s="40" t="s">
        <v>1728</v>
      </c>
      <c r="D34" s="40" t="s">
        <v>1729</v>
      </c>
      <c r="E34" s="40" t="s">
        <v>1730</v>
      </c>
      <c r="G34" s="77"/>
      <c r="H34" s="77"/>
    </row>
    <row r="35" spans="1:8" ht="57.75" customHeight="1" x14ac:dyDescent="0.2">
      <c r="A35" s="39">
        <v>30</v>
      </c>
      <c r="B35" s="43" t="s">
        <v>1731</v>
      </c>
      <c r="C35" s="40" t="s">
        <v>1732</v>
      </c>
      <c r="D35" s="40" t="s">
        <v>1733</v>
      </c>
      <c r="E35" s="40" t="s">
        <v>1734</v>
      </c>
      <c r="G35" s="77"/>
      <c r="H35" s="77"/>
    </row>
    <row r="36" spans="1:8" ht="57.75" customHeight="1" x14ac:dyDescent="0.2">
      <c r="A36" s="39">
        <v>31</v>
      </c>
      <c r="B36" s="43" t="s">
        <v>1735</v>
      </c>
      <c r="C36" s="40" t="s">
        <v>1736</v>
      </c>
      <c r="D36" s="40" t="s">
        <v>1737</v>
      </c>
      <c r="E36" s="40" t="s">
        <v>1738</v>
      </c>
      <c r="G36" s="77"/>
      <c r="H36" s="77"/>
    </row>
    <row r="37" spans="1:8" ht="57.75" customHeight="1" x14ac:dyDescent="0.2">
      <c r="A37" s="39">
        <v>32</v>
      </c>
      <c r="B37" s="43" t="s">
        <v>1739</v>
      </c>
      <c r="C37" s="40" t="s">
        <v>1740</v>
      </c>
      <c r="D37" s="40" t="s">
        <v>1741</v>
      </c>
      <c r="E37" s="40" t="s">
        <v>1742</v>
      </c>
      <c r="G37" s="77"/>
      <c r="H37" s="77"/>
    </row>
    <row r="38" spans="1:8" ht="57.75" customHeight="1" x14ac:dyDescent="0.2">
      <c r="A38" s="39">
        <v>33</v>
      </c>
      <c r="B38" s="43" t="s">
        <v>1743</v>
      </c>
      <c r="C38" s="40" t="s">
        <v>1744</v>
      </c>
      <c r="D38" s="40" t="s">
        <v>1745</v>
      </c>
      <c r="E38" s="40" t="s">
        <v>1746</v>
      </c>
      <c r="G38" s="77"/>
      <c r="H38" s="77"/>
    </row>
    <row r="39" spans="1:8" ht="57.75" customHeight="1" x14ac:dyDescent="0.2">
      <c r="A39" s="39">
        <v>34</v>
      </c>
      <c r="B39" s="43" t="s">
        <v>1747</v>
      </c>
      <c r="C39" s="40" t="s">
        <v>1748</v>
      </c>
      <c r="D39" s="40" t="s">
        <v>1749</v>
      </c>
      <c r="E39" s="40" t="s">
        <v>1750</v>
      </c>
      <c r="G39" s="77"/>
      <c r="H39" s="77"/>
    </row>
    <row r="40" spans="1:8" ht="57.75" customHeight="1" x14ac:dyDescent="0.2">
      <c r="A40" s="39">
        <v>35</v>
      </c>
      <c r="B40" s="43" t="s">
        <v>1751</v>
      </c>
      <c r="C40" s="40" t="s">
        <v>1752</v>
      </c>
      <c r="D40" s="40" t="s">
        <v>1753</v>
      </c>
      <c r="E40" s="40" t="s">
        <v>1754</v>
      </c>
      <c r="G40" s="77"/>
      <c r="H40" s="77"/>
    </row>
    <row r="41" spans="1:8" ht="57.75" customHeight="1" x14ac:dyDescent="0.2">
      <c r="A41" s="39">
        <v>36</v>
      </c>
      <c r="B41" s="43" t="s">
        <v>1755</v>
      </c>
      <c r="C41" s="40" t="s">
        <v>1756</v>
      </c>
      <c r="D41" s="40" t="s">
        <v>1757</v>
      </c>
      <c r="E41" s="40" t="s">
        <v>1758</v>
      </c>
      <c r="G41" s="77"/>
      <c r="H41" s="77"/>
    </row>
    <row r="42" spans="1:8" ht="57.75" customHeight="1" x14ac:dyDescent="0.2">
      <c r="A42" s="39">
        <v>37</v>
      </c>
      <c r="B42" s="43" t="s">
        <v>1759</v>
      </c>
      <c r="C42" s="40" t="s">
        <v>1760</v>
      </c>
      <c r="D42" s="40" t="s">
        <v>1761</v>
      </c>
      <c r="E42" s="40" t="s">
        <v>1762</v>
      </c>
      <c r="G42" s="77"/>
      <c r="H42" s="77"/>
    </row>
    <row r="43" spans="1:8" ht="57.75" customHeight="1" x14ac:dyDescent="0.2">
      <c r="A43" s="39">
        <v>38</v>
      </c>
      <c r="B43" s="43" t="s">
        <v>1763</v>
      </c>
      <c r="C43" s="40" t="s">
        <v>1764</v>
      </c>
      <c r="D43" s="40" t="s">
        <v>1765</v>
      </c>
      <c r="E43" s="40" t="s">
        <v>1766</v>
      </c>
      <c r="G43" s="77"/>
      <c r="H43" s="77"/>
    </row>
    <row r="44" spans="1:8" ht="57.75" customHeight="1" x14ac:dyDescent="0.2">
      <c r="A44" s="39">
        <v>39</v>
      </c>
      <c r="B44" s="43" t="s">
        <v>1767</v>
      </c>
      <c r="C44" s="40" t="s">
        <v>1768</v>
      </c>
      <c r="D44" s="40" t="s">
        <v>1769</v>
      </c>
      <c r="E44" s="40" t="s">
        <v>1770</v>
      </c>
      <c r="G44" s="77"/>
      <c r="H44" s="77"/>
    </row>
    <row r="45" spans="1:8" ht="57.75" customHeight="1" x14ac:dyDescent="0.2">
      <c r="A45" s="39">
        <v>40</v>
      </c>
      <c r="B45" s="43" t="s">
        <v>1771</v>
      </c>
      <c r="C45" s="40" t="s">
        <v>1772</v>
      </c>
      <c r="D45" s="40" t="s">
        <v>1773</v>
      </c>
      <c r="E45" s="40" t="s">
        <v>1774</v>
      </c>
      <c r="G45" s="77"/>
      <c r="H45" s="77"/>
    </row>
    <row r="46" spans="1:8" ht="57.75" customHeight="1" x14ac:dyDescent="0.2">
      <c r="A46" s="39">
        <v>41</v>
      </c>
      <c r="B46" s="43" t="s">
        <v>1775</v>
      </c>
      <c r="C46" s="40" t="s">
        <v>1776</v>
      </c>
      <c r="D46" s="40" t="s">
        <v>1777</v>
      </c>
      <c r="E46" s="40" t="s">
        <v>1778</v>
      </c>
      <c r="G46" s="77"/>
      <c r="H46" s="77"/>
    </row>
    <row r="47" spans="1:8" ht="57.75" customHeight="1" x14ac:dyDescent="0.2">
      <c r="A47" s="39">
        <v>42</v>
      </c>
      <c r="B47" s="43" t="s">
        <v>1779</v>
      </c>
      <c r="C47" s="40" t="s">
        <v>1780</v>
      </c>
      <c r="D47" s="40" t="s">
        <v>1781</v>
      </c>
      <c r="E47" s="40" t="s">
        <v>1782</v>
      </c>
      <c r="G47" s="77"/>
      <c r="H47" s="77"/>
    </row>
    <row r="48" spans="1:8" ht="57.75" customHeight="1" x14ac:dyDescent="0.2">
      <c r="A48" s="39">
        <v>43</v>
      </c>
      <c r="B48" s="43" t="s">
        <v>1783</v>
      </c>
      <c r="C48" s="40" t="s">
        <v>1784</v>
      </c>
      <c r="D48" s="40" t="s">
        <v>1785</v>
      </c>
      <c r="E48" s="40" t="s">
        <v>1786</v>
      </c>
      <c r="G48" s="77"/>
      <c r="H48" s="77"/>
    </row>
    <row r="49" spans="1:8" ht="57.75" customHeight="1" x14ac:dyDescent="0.2">
      <c r="A49" s="39">
        <v>44</v>
      </c>
      <c r="B49" s="43" t="s">
        <v>1787</v>
      </c>
      <c r="C49" s="40" t="s">
        <v>1788</v>
      </c>
      <c r="D49" s="40" t="s">
        <v>1789</v>
      </c>
      <c r="E49" s="40" t="s">
        <v>1790</v>
      </c>
      <c r="G49" s="77"/>
      <c r="H49" s="77"/>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9"/>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12" customWidth="1"/>
    <col min="2" max="2" width="18" customWidth="1"/>
    <col min="3" max="3" width="58" customWidth="1"/>
    <col min="4" max="4" width="52" customWidth="1"/>
    <col min="5" max="5" width="18" customWidth="1"/>
    <col min="6" max="6" width="22" customWidth="1"/>
    <col min="7" max="7" width="14" customWidth="1"/>
    <col min="8" max="8" width="22" customWidth="1"/>
    <col min="9" max="9" width="30" customWidth="1"/>
  </cols>
  <sheetData>
    <row r="1" spans="1:9" ht="19" customHeight="1" x14ac:dyDescent="0.25">
      <c r="A1" s="2" t="s">
        <v>1791</v>
      </c>
    </row>
    <row r="2" spans="1:9" x14ac:dyDescent="0.2">
      <c r="A2" s="1" t="s">
        <v>1792</v>
      </c>
    </row>
    <row r="4" spans="1:9" x14ac:dyDescent="0.2">
      <c r="A4" s="3" t="s">
        <v>1793</v>
      </c>
      <c r="B4" s="3" t="s">
        <v>1794</v>
      </c>
      <c r="C4" s="3" t="s">
        <v>1795</v>
      </c>
      <c r="D4" s="3" t="s">
        <v>1796</v>
      </c>
      <c r="E4" s="3" t="s">
        <v>1797</v>
      </c>
      <c r="F4" s="3" t="s">
        <v>1798</v>
      </c>
      <c r="G4" s="3" t="s">
        <v>1799</v>
      </c>
      <c r="H4" s="3" t="s">
        <v>1800</v>
      </c>
    </row>
    <row r="5" spans="1:9" ht="45.75" customHeight="1" x14ac:dyDescent="0.2">
      <c r="A5" s="5" t="s">
        <v>1801</v>
      </c>
      <c r="B5" s="5" t="s">
        <v>1802</v>
      </c>
      <c r="C5" s="5" t="s">
        <v>1803</v>
      </c>
      <c r="D5" s="5" t="s">
        <v>1804</v>
      </c>
      <c r="E5" s="5" t="s">
        <v>1805</v>
      </c>
      <c r="F5" s="5" t="s">
        <v>1806</v>
      </c>
      <c r="G5" s="5" t="s">
        <v>1807</v>
      </c>
      <c r="H5" s="5" t="s">
        <v>1808</v>
      </c>
      <c r="I5" s="6" t="s">
        <v>1809</v>
      </c>
    </row>
    <row r="6" spans="1:9" x14ac:dyDescent="0.2">
      <c r="A6" s="7"/>
      <c r="B6" s="4"/>
      <c r="C6" s="4"/>
      <c r="D6" s="4"/>
      <c r="E6" s="4"/>
      <c r="F6" s="4"/>
      <c r="G6" s="7"/>
      <c r="H6" s="7"/>
    </row>
    <row r="7" spans="1:9" x14ac:dyDescent="0.2">
      <c r="A7" s="7"/>
      <c r="B7" s="4"/>
      <c r="C7" s="4"/>
      <c r="D7" s="4"/>
      <c r="E7" s="4"/>
      <c r="F7" s="4"/>
      <c r="G7" s="7"/>
      <c r="H7" s="7"/>
    </row>
    <row r="8" spans="1:9" x14ac:dyDescent="0.2">
      <c r="A8" s="7"/>
      <c r="B8" s="4"/>
      <c r="C8" s="4"/>
      <c r="D8" s="4"/>
      <c r="E8" s="4"/>
      <c r="F8" s="4"/>
      <c r="G8" s="7"/>
      <c r="H8" s="7"/>
    </row>
    <row r="9" spans="1:9" x14ac:dyDescent="0.2">
      <c r="A9" s="7"/>
      <c r="B9" s="4"/>
      <c r="C9" s="4"/>
      <c r="D9" s="4"/>
      <c r="E9" s="4"/>
      <c r="F9" s="4"/>
      <c r="G9" s="7"/>
      <c r="H9" s="7"/>
    </row>
    <row r="10" spans="1:9" x14ac:dyDescent="0.2">
      <c r="A10" s="7"/>
      <c r="B10" s="4"/>
      <c r="C10" s="4"/>
      <c r="D10" s="4"/>
      <c r="E10" s="4"/>
      <c r="F10" s="4"/>
      <c r="G10" s="7"/>
      <c r="H10" s="7"/>
    </row>
    <row r="11" spans="1:9" x14ac:dyDescent="0.2">
      <c r="A11" s="7"/>
      <c r="B11" s="4"/>
      <c r="C11" s="4"/>
      <c r="D11" s="4"/>
      <c r="E11" s="4"/>
      <c r="F11" s="4"/>
      <c r="G11" s="7"/>
      <c r="H11" s="7"/>
    </row>
    <row r="12" spans="1:9" x14ac:dyDescent="0.2">
      <c r="A12" s="7"/>
      <c r="B12" s="4"/>
      <c r="C12" s="4"/>
      <c r="D12" s="4"/>
      <c r="E12" s="4"/>
      <c r="F12" s="4"/>
      <c r="G12" s="7"/>
      <c r="H12" s="7"/>
    </row>
    <row r="13" spans="1:9" x14ac:dyDescent="0.2">
      <c r="A13" s="7"/>
      <c r="B13" s="4"/>
      <c r="C13" s="4"/>
      <c r="D13" s="4"/>
      <c r="E13" s="4"/>
      <c r="F13" s="4"/>
      <c r="G13" s="7"/>
      <c r="H13" s="7"/>
    </row>
    <row r="14" spans="1:9" x14ac:dyDescent="0.2">
      <c r="A14" s="7"/>
      <c r="B14" s="4"/>
      <c r="C14" s="4"/>
      <c r="D14" s="4"/>
      <c r="E14" s="4"/>
      <c r="F14" s="4"/>
      <c r="G14" s="7"/>
      <c r="H14" s="7"/>
    </row>
    <row r="15" spans="1:9" x14ac:dyDescent="0.2">
      <c r="A15" s="7"/>
      <c r="B15" s="4"/>
      <c r="C15" s="4"/>
      <c r="D15" s="4"/>
      <c r="E15" s="4"/>
      <c r="F15" s="4"/>
      <c r="G15" s="7"/>
      <c r="H15" s="7"/>
    </row>
    <row r="16" spans="1:9" x14ac:dyDescent="0.2">
      <c r="A16" s="7"/>
      <c r="B16" s="4"/>
      <c r="C16" s="4"/>
      <c r="D16" s="4"/>
      <c r="E16" s="4"/>
      <c r="F16" s="4"/>
      <c r="G16" s="7"/>
      <c r="H16" s="7"/>
    </row>
    <row r="17" spans="1:8" x14ac:dyDescent="0.2">
      <c r="A17" s="7"/>
      <c r="B17" s="4"/>
      <c r="C17" s="4"/>
      <c r="D17" s="4"/>
      <c r="E17" s="4"/>
      <c r="F17" s="4"/>
      <c r="G17" s="7"/>
      <c r="H17" s="7"/>
    </row>
    <row r="18" spans="1:8" x14ac:dyDescent="0.2">
      <c r="A18" s="7"/>
      <c r="B18" s="4"/>
      <c r="C18" s="4"/>
      <c r="D18" s="4"/>
      <c r="E18" s="4"/>
      <c r="F18" s="4"/>
      <c r="G18" s="7"/>
      <c r="H18" s="7"/>
    </row>
    <row r="19" spans="1:8" x14ac:dyDescent="0.2">
      <c r="A19" s="7"/>
      <c r="B19" s="4"/>
      <c r="C19" s="4"/>
      <c r="D19" s="4"/>
      <c r="E19" s="4"/>
      <c r="F19" s="4"/>
      <c r="G19" s="7"/>
      <c r="H19" s="7"/>
    </row>
    <row r="20" spans="1:8" x14ac:dyDescent="0.2">
      <c r="A20" s="7"/>
      <c r="B20" s="4"/>
      <c r="C20" s="4"/>
      <c r="D20" s="4"/>
      <c r="E20" s="4"/>
      <c r="F20" s="4"/>
      <c r="G20" s="7"/>
      <c r="H20" s="7"/>
    </row>
    <row r="21" spans="1:8" x14ac:dyDescent="0.2">
      <c r="A21" s="7"/>
      <c r="B21" s="4"/>
      <c r="C21" s="4"/>
      <c r="D21" s="4"/>
      <c r="E21" s="4"/>
      <c r="F21" s="4"/>
      <c r="G21" s="7"/>
      <c r="H21" s="7"/>
    </row>
    <row r="22" spans="1:8" x14ac:dyDescent="0.2">
      <c r="A22" s="7"/>
      <c r="B22" s="4"/>
      <c r="C22" s="4"/>
      <c r="D22" s="4"/>
      <c r="E22" s="4"/>
      <c r="F22" s="4"/>
      <c r="G22" s="7"/>
      <c r="H22" s="7"/>
    </row>
    <row r="23" spans="1:8" x14ac:dyDescent="0.2">
      <c r="A23" s="7"/>
      <c r="B23" s="4"/>
      <c r="C23" s="4"/>
      <c r="D23" s="4"/>
      <c r="E23" s="4"/>
      <c r="F23" s="4"/>
      <c r="G23" s="7"/>
      <c r="H23" s="7"/>
    </row>
    <row r="24" spans="1:8" x14ac:dyDescent="0.2">
      <c r="A24" s="7"/>
      <c r="B24" s="4"/>
      <c r="C24" s="4"/>
      <c r="D24" s="4"/>
      <c r="E24" s="4"/>
      <c r="F24" s="4"/>
      <c r="G24" s="7"/>
      <c r="H24" s="7"/>
    </row>
    <row r="25" spans="1:8" x14ac:dyDescent="0.2">
      <c r="A25" s="7"/>
      <c r="B25" s="4"/>
      <c r="C25" s="4"/>
      <c r="D25" s="4"/>
      <c r="E25" s="4"/>
      <c r="F25" s="4"/>
      <c r="G25" s="7"/>
      <c r="H25" s="7"/>
    </row>
    <row r="26" spans="1:8" x14ac:dyDescent="0.2">
      <c r="A26" s="7"/>
      <c r="B26" s="4"/>
      <c r="C26" s="4"/>
      <c r="D26" s="4"/>
      <c r="E26" s="4"/>
      <c r="F26" s="4"/>
      <c r="G26" s="7"/>
      <c r="H26" s="7"/>
    </row>
    <row r="27" spans="1:8" x14ac:dyDescent="0.2">
      <c r="A27" s="7"/>
      <c r="B27" s="4"/>
      <c r="C27" s="4"/>
      <c r="D27" s="4"/>
      <c r="E27" s="4"/>
      <c r="F27" s="4"/>
      <c r="G27" s="7"/>
      <c r="H27" s="7"/>
    </row>
    <row r="28" spans="1:8" x14ac:dyDescent="0.2">
      <c r="A28" s="7"/>
      <c r="B28" s="4"/>
      <c r="C28" s="4"/>
      <c r="D28" s="4"/>
      <c r="E28" s="4"/>
      <c r="F28" s="4"/>
      <c r="G28" s="7"/>
      <c r="H28" s="7"/>
    </row>
    <row r="29" spans="1:8" x14ac:dyDescent="0.2">
      <c r="A29" s="7"/>
      <c r="B29" s="4"/>
      <c r="C29" s="4"/>
      <c r="D29" s="4"/>
      <c r="E29" s="4"/>
      <c r="F29" s="4"/>
      <c r="G29" s="7"/>
      <c r="H29" s="7"/>
    </row>
    <row r="30" spans="1:8" x14ac:dyDescent="0.2">
      <c r="A30" s="7"/>
      <c r="B30" s="4"/>
      <c r="C30" s="4"/>
      <c r="D30" s="4"/>
      <c r="E30" s="4"/>
      <c r="F30" s="4"/>
      <c r="G30" s="7"/>
      <c r="H30" s="7"/>
    </row>
    <row r="31" spans="1:8" x14ac:dyDescent="0.2">
      <c r="A31" s="7"/>
      <c r="B31" s="4"/>
      <c r="C31" s="4"/>
      <c r="D31" s="4"/>
      <c r="E31" s="4"/>
      <c r="F31" s="4"/>
      <c r="G31" s="7"/>
      <c r="H31" s="7"/>
    </row>
    <row r="32" spans="1:8" x14ac:dyDescent="0.2">
      <c r="A32" s="7"/>
      <c r="B32" s="4"/>
      <c r="C32" s="4"/>
      <c r="D32" s="4"/>
      <c r="E32" s="4"/>
      <c r="F32" s="4"/>
      <c r="G32" s="7"/>
      <c r="H32" s="7"/>
    </row>
    <row r="33" spans="1:8" x14ac:dyDescent="0.2">
      <c r="A33" s="7"/>
      <c r="B33" s="4"/>
      <c r="C33" s="4"/>
      <c r="D33" s="4"/>
      <c r="E33" s="4"/>
      <c r="F33" s="4"/>
      <c r="G33" s="7"/>
      <c r="H33" s="7"/>
    </row>
    <row r="34" spans="1:8" x14ac:dyDescent="0.2">
      <c r="A34" s="7"/>
      <c r="B34" s="4"/>
      <c r="C34" s="4"/>
      <c r="D34" s="4"/>
      <c r="E34" s="4"/>
      <c r="F34" s="4"/>
      <c r="G34" s="7"/>
      <c r="H34" s="7"/>
    </row>
    <row r="35" spans="1:8" x14ac:dyDescent="0.2">
      <c r="A35" s="7"/>
      <c r="B35" s="4"/>
      <c r="C35" s="4"/>
      <c r="D35" s="4"/>
      <c r="E35" s="4"/>
      <c r="F35" s="4"/>
      <c r="G35" s="7"/>
      <c r="H35" s="7"/>
    </row>
    <row r="36" spans="1:8" x14ac:dyDescent="0.2">
      <c r="A36" s="7"/>
      <c r="B36" s="4"/>
      <c r="C36" s="4"/>
      <c r="D36" s="4"/>
      <c r="E36" s="4"/>
      <c r="F36" s="4"/>
      <c r="G36" s="7"/>
      <c r="H36" s="7"/>
    </row>
    <row r="37" spans="1:8" x14ac:dyDescent="0.2">
      <c r="A37" s="7"/>
      <c r="B37" s="4"/>
      <c r="C37" s="4"/>
      <c r="D37" s="4"/>
      <c r="E37" s="4"/>
      <c r="F37" s="4"/>
      <c r="G37" s="7"/>
      <c r="H37" s="7"/>
    </row>
    <row r="38" spans="1:8" x14ac:dyDescent="0.2">
      <c r="A38" s="7"/>
      <c r="B38" s="4"/>
      <c r="C38" s="4"/>
      <c r="D38" s="4"/>
      <c r="E38" s="4"/>
      <c r="F38" s="4"/>
      <c r="G38" s="7"/>
      <c r="H38" s="7"/>
    </row>
    <row r="39" spans="1:8" x14ac:dyDescent="0.2">
      <c r="A39" s="7"/>
      <c r="B39" s="4"/>
      <c r="C39" s="4"/>
      <c r="D39" s="4"/>
      <c r="E39" s="4"/>
      <c r="F39" s="4"/>
      <c r="G39" s="7"/>
      <c r="H39" s="7"/>
    </row>
    <row r="40" spans="1:8" x14ac:dyDescent="0.2">
      <c r="A40" s="7"/>
      <c r="B40" s="4"/>
      <c r="C40" s="4"/>
      <c r="D40" s="4"/>
      <c r="E40" s="4"/>
      <c r="F40" s="4"/>
      <c r="G40" s="7"/>
      <c r="H40" s="7"/>
    </row>
    <row r="41" spans="1:8" x14ac:dyDescent="0.2">
      <c r="A41" s="7"/>
      <c r="B41" s="4"/>
      <c r="C41" s="4"/>
      <c r="D41" s="4"/>
      <c r="E41" s="4"/>
      <c r="F41" s="4"/>
      <c r="G41" s="7"/>
      <c r="H41" s="7"/>
    </row>
    <row r="42" spans="1:8" x14ac:dyDescent="0.2">
      <c r="A42" s="7"/>
      <c r="B42" s="4"/>
      <c r="C42" s="4"/>
      <c r="D42" s="4"/>
      <c r="E42" s="4"/>
      <c r="F42" s="4"/>
      <c r="G42" s="7"/>
      <c r="H42" s="7"/>
    </row>
    <row r="43" spans="1:8" x14ac:dyDescent="0.2">
      <c r="A43" s="7"/>
      <c r="B43" s="4"/>
      <c r="C43" s="4"/>
      <c r="D43" s="4"/>
      <c r="E43" s="4"/>
      <c r="F43" s="4"/>
      <c r="G43" s="7"/>
      <c r="H43" s="7"/>
    </row>
    <row r="44" spans="1:8" x14ac:dyDescent="0.2">
      <c r="A44" s="7"/>
      <c r="B44" s="4"/>
      <c r="C44" s="4"/>
      <c r="D44" s="4"/>
      <c r="E44" s="4"/>
      <c r="F44" s="4"/>
      <c r="G44" s="7"/>
      <c r="H44" s="7"/>
    </row>
    <row r="45" spans="1:8" x14ac:dyDescent="0.2">
      <c r="A45" s="7"/>
      <c r="B45" s="4"/>
      <c r="C45" s="4"/>
      <c r="D45" s="4"/>
      <c r="E45" s="4"/>
      <c r="F45" s="4"/>
      <c r="G45" s="7"/>
      <c r="H45" s="7"/>
    </row>
    <row r="46" spans="1:8" x14ac:dyDescent="0.2">
      <c r="A46" s="7"/>
      <c r="B46" s="4"/>
      <c r="C46" s="4"/>
      <c r="D46" s="4"/>
      <c r="E46" s="4"/>
      <c r="F46" s="4"/>
      <c r="G46" s="7"/>
      <c r="H46" s="7"/>
    </row>
    <row r="47" spans="1:8" x14ac:dyDescent="0.2">
      <c r="A47" s="7"/>
      <c r="B47" s="4"/>
      <c r="C47" s="4"/>
      <c r="D47" s="4"/>
      <c r="E47" s="4"/>
      <c r="F47" s="4"/>
      <c r="G47" s="7"/>
      <c r="H47" s="7"/>
    </row>
    <row r="48" spans="1:8" x14ac:dyDescent="0.2">
      <c r="A48" s="7"/>
      <c r="B48" s="4"/>
      <c r="C48" s="4"/>
      <c r="D48" s="4"/>
      <c r="E48" s="4"/>
      <c r="F48" s="4"/>
      <c r="G48" s="7"/>
      <c r="H48" s="7"/>
    </row>
    <row r="49" spans="1:8" x14ac:dyDescent="0.2">
      <c r="A49" s="7"/>
      <c r="B49" s="4"/>
      <c r="C49" s="4"/>
      <c r="D49" s="4"/>
      <c r="E49" s="4"/>
      <c r="F49" s="4"/>
      <c r="G49" s="7"/>
      <c r="H49" s="7"/>
    </row>
    <row r="50" spans="1:8" x14ac:dyDescent="0.2">
      <c r="A50" s="7"/>
      <c r="B50" s="4"/>
      <c r="C50" s="4"/>
      <c r="D50" s="4"/>
      <c r="E50" s="4"/>
      <c r="F50" s="4"/>
      <c r="G50" s="7"/>
      <c r="H50" s="7"/>
    </row>
    <row r="51" spans="1:8" x14ac:dyDescent="0.2">
      <c r="A51" s="7"/>
      <c r="B51" s="4"/>
      <c r="C51" s="4"/>
      <c r="D51" s="4"/>
      <c r="E51" s="4"/>
      <c r="F51" s="4"/>
      <c r="G51" s="7"/>
      <c r="H51" s="7"/>
    </row>
    <row r="52" spans="1:8" x14ac:dyDescent="0.2">
      <c r="A52" s="7"/>
      <c r="B52" s="4"/>
      <c r="C52" s="4"/>
      <c r="D52" s="4"/>
      <c r="E52" s="4"/>
      <c r="F52" s="4"/>
      <c r="G52" s="7"/>
      <c r="H52" s="7"/>
    </row>
    <row r="53" spans="1:8" x14ac:dyDescent="0.2">
      <c r="A53" s="7"/>
      <c r="B53" s="4"/>
      <c r="C53" s="4"/>
      <c r="D53" s="4"/>
      <c r="E53" s="4"/>
      <c r="F53" s="4"/>
      <c r="G53" s="7"/>
      <c r="H53" s="7"/>
    </row>
    <row r="54" spans="1:8" x14ac:dyDescent="0.2">
      <c r="A54" s="7"/>
      <c r="B54" s="4"/>
      <c r="C54" s="4"/>
      <c r="D54" s="4"/>
      <c r="E54" s="4"/>
      <c r="F54" s="4"/>
      <c r="G54" s="7"/>
      <c r="H54" s="7"/>
    </row>
    <row r="55" spans="1:8" x14ac:dyDescent="0.2">
      <c r="A55" s="7"/>
      <c r="B55" s="4"/>
      <c r="C55" s="4"/>
      <c r="D55" s="4"/>
      <c r="E55" s="4"/>
      <c r="F55" s="4"/>
      <c r="G55" s="7"/>
      <c r="H55" s="7"/>
    </row>
    <row r="56" spans="1:8" x14ac:dyDescent="0.2">
      <c r="A56" s="7"/>
      <c r="B56" s="4"/>
      <c r="C56" s="4"/>
      <c r="D56" s="4"/>
      <c r="E56" s="4"/>
      <c r="F56" s="4"/>
      <c r="G56" s="7"/>
      <c r="H56" s="7"/>
    </row>
    <row r="57" spans="1:8" x14ac:dyDescent="0.2">
      <c r="A57" s="7"/>
      <c r="B57" s="4"/>
      <c r="C57" s="4"/>
      <c r="D57" s="4"/>
      <c r="E57" s="4"/>
      <c r="F57" s="4"/>
      <c r="G57" s="7"/>
      <c r="H57" s="7"/>
    </row>
    <row r="58" spans="1:8" x14ac:dyDescent="0.2">
      <c r="A58" s="7"/>
      <c r="B58" s="4"/>
      <c r="C58" s="4"/>
      <c r="D58" s="4"/>
      <c r="E58" s="4"/>
      <c r="F58" s="4"/>
      <c r="G58" s="7"/>
      <c r="H58" s="7"/>
    </row>
    <row r="59" spans="1:8" x14ac:dyDescent="0.2">
      <c r="A59" s="7"/>
      <c r="B59" s="4"/>
      <c r="C59" s="4"/>
      <c r="D59" s="4"/>
      <c r="E59" s="4"/>
      <c r="F59" s="4"/>
      <c r="G59" s="7"/>
      <c r="H59" s="7"/>
    </row>
  </sheetData>
  <dataValidations count="1">
    <dataValidation type="list" allowBlank="1" sqref="B6:B200" xr:uid="{00000000-0002-0000-0C00-000000000000}">
      <formula1>"Policy approval,Risk acceptance,Exception,Delegation,Appointment,Commitment approval,Sub-processor change,Change trigger,Conduct or fraud case,Deficiency escalation,Other"</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8"/>
  <sheetViews>
    <sheetView showGridLines="0" topLeftCell="H1" zoomScaleNormal="100" workbookViewId="0">
      <selection activeCell="F5" sqref="F5"/>
    </sheetView>
  </sheetViews>
  <sheetFormatPr baseColWidth="10" defaultColWidth="8.6640625" defaultRowHeight="19" x14ac:dyDescent="0.25"/>
  <cols>
    <col min="1" max="1" width="30" style="45" customWidth="1"/>
    <col min="2" max="2" width="24" style="45" customWidth="1"/>
    <col min="3" max="3" width="18" style="45" customWidth="1"/>
    <col min="4" max="4" width="56" style="45" customWidth="1"/>
    <col min="5" max="5" width="30" style="45" customWidth="1"/>
    <col min="6" max="6" width="14" style="45" customWidth="1"/>
    <col min="7" max="8" width="8.6640625" style="45" customWidth="1"/>
    <col min="9" max="16384" width="8.6640625" style="45"/>
  </cols>
  <sheetData>
    <row r="1" spans="1:6" x14ac:dyDescent="0.25">
      <c r="A1" s="2" t="s">
        <v>1810</v>
      </c>
    </row>
    <row r="2" spans="1:6" x14ac:dyDescent="0.25">
      <c r="A2" s="46" t="s">
        <v>1811</v>
      </c>
    </row>
    <row r="4" spans="1:6" ht="20" customHeight="1" x14ac:dyDescent="0.25">
      <c r="A4" s="47" t="s">
        <v>1812</v>
      </c>
      <c r="B4" s="47" t="s">
        <v>1813</v>
      </c>
      <c r="C4" s="47" t="s">
        <v>218</v>
      </c>
      <c r="D4" s="47" t="s">
        <v>1814</v>
      </c>
      <c r="E4" s="47" t="s">
        <v>1815</v>
      </c>
      <c r="F4" s="47" t="s">
        <v>226</v>
      </c>
    </row>
    <row r="5" spans="1:6" ht="60" customHeight="1" x14ac:dyDescent="0.25">
      <c r="A5" s="48" t="s">
        <v>1816</v>
      </c>
      <c r="B5" s="49" t="s">
        <v>1817</v>
      </c>
      <c r="C5" s="49" t="s">
        <v>242</v>
      </c>
      <c r="D5" s="49" t="s">
        <v>1818</v>
      </c>
      <c r="E5" s="49" t="s">
        <v>1819</v>
      </c>
      <c r="F5" s="50"/>
    </row>
    <row r="6" spans="1:6" ht="60" customHeight="1" x14ac:dyDescent="0.25">
      <c r="A6" s="48" t="s">
        <v>1820</v>
      </c>
      <c r="B6" s="49" t="s">
        <v>1354</v>
      </c>
      <c r="C6" s="49" t="s">
        <v>242</v>
      </c>
      <c r="D6" s="49" t="s">
        <v>1821</v>
      </c>
      <c r="E6" s="49" t="s">
        <v>1822</v>
      </c>
      <c r="F6" s="50"/>
    </row>
    <row r="7" spans="1:6" ht="60" customHeight="1" x14ac:dyDescent="0.25">
      <c r="A7" s="48" t="s">
        <v>1823</v>
      </c>
      <c r="B7" s="49" t="s">
        <v>1824</v>
      </c>
      <c r="C7" s="49" t="s">
        <v>242</v>
      </c>
      <c r="D7" s="49" t="s">
        <v>1825</v>
      </c>
      <c r="E7" s="49" t="s">
        <v>1826</v>
      </c>
      <c r="F7" s="50"/>
    </row>
    <row r="8" spans="1:6" ht="60" customHeight="1" x14ac:dyDescent="0.25">
      <c r="A8" s="48" t="s">
        <v>1827</v>
      </c>
      <c r="B8" s="49" t="s">
        <v>1828</v>
      </c>
      <c r="C8" s="49" t="s">
        <v>242</v>
      </c>
      <c r="D8" s="49" t="s">
        <v>1829</v>
      </c>
      <c r="E8" s="49" t="s">
        <v>1830</v>
      </c>
      <c r="F8" s="50"/>
    </row>
    <row r="9" spans="1:6" ht="60" customHeight="1" x14ac:dyDescent="0.25">
      <c r="A9" s="48" t="s">
        <v>1831</v>
      </c>
      <c r="B9" s="49" t="s">
        <v>1832</v>
      </c>
      <c r="C9" s="49" t="s">
        <v>242</v>
      </c>
      <c r="D9" s="49" t="s">
        <v>1833</v>
      </c>
      <c r="E9" s="49" t="s">
        <v>1834</v>
      </c>
      <c r="F9" s="50"/>
    </row>
    <row r="10" spans="1:6" ht="60" customHeight="1" x14ac:dyDescent="0.25">
      <c r="A10" s="48" t="s">
        <v>1835</v>
      </c>
      <c r="B10" s="49" t="s">
        <v>1836</v>
      </c>
      <c r="C10" s="49" t="s">
        <v>242</v>
      </c>
      <c r="D10" s="49" t="s">
        <v>1837</v>
      </c>
      <c r="E10" s="49" t="s">
        <v>1838</v>
      </c>
      <c r="F10" s="50"/>
    </row>
    <row r="11" spans="1:6" ht="60" customHeight="1" x14ac:dyDescent="0.25">
      <c r="A11" s="48" t="s">
        <v>1839</v>
      </c>
      <c r="B11" s="49" t="s">
        <v>1840</v>
      </c>
      <c r="C11" s="49" t="s">
        <v>233</v>
      </c>
      <c r="D11" s="49" t="s">
        <v>1841</v>
      </c>
      <c r="E11" s="49" t="s">
        <v>1842</v>
      </c>
      <c r="F11" s="50"/>
    </row>
    <row r="12" spans="1:6" ht="60" customHeight="1" x14ac:dyDescent="0.25">
      <c r="A12" s="48" t="s">
        <v>1843</v>
      </c>
      <c r="B12" s="49" t="s">
        <v>1844</v>
      </c>
      <c r="C12" s="49" t="s">
        <v>242</v>
      </c>
      <c r="D12" s="49" t="s">
        <v>1845</v>
      </c>
      <c r="E12" s="49" t="s">
        <v>1846</v>
      </c>
      <c r="F12" s="50"/>
    </row>
    <row r="13" spans="1:6" ht="60" customHeight="1" x14ac:dyDescent="0.25">
      <c r="A13" s="48" t="s">
        <v>1847</v>
      </c>
      <c r="B13" s="49" t="s">
        <v>1848</v>
      </c>
      <c r="C13" s="49" t="s">
        <v>242</v>
      </c>
      <c r="D13" s="49" t="s">
        <v>1849</v>
      </c>
      <c r="E13" s="49" t="s">
        <v>1689</v>
      </c>
      <c r="F13" s="50"/>
    </row>
    <row r="14" spans="1:6" ht="60" customHeight="1" x14ac:dyDescent="0.25">
      <c r="A14" s="48" t="s">
        <v>1850</v>
      </c>
      <c r="B14" s="49" t="s">
        <v>1851</v>
      </c>
      <c r="C14" s="49" t="s">
        <v>242</v>
      </c>
      <c r="D14" s="49" t="s">
        <v>1852</v>
      </c>
      <c r="E14" s="49" t="s">
        <v>1853</v>
      </c>
      <c r="F14" s="50"/>
    </row>
    <row r="15" spans="1:6" ht="60" customHeight="1" x14ac:dyDescent="0.25">
      <c r="A15" s="48" t="s">
        <v>1854</v>
      </c>
      <c r="B15" s="49" t="s">
        <v>1855</v>
      </c>
      <c r="C15" s="49" t="s">
        <v>242</v>
      </c>
      <c r="D15" s="49" t="s">
        <v>1856</v>
      </c>
      <c r="E15" s="49" t="s">
        <v>1857</v>
      </c>
      <c r="F15" s="50"/>
    </row>
    <row r="16" spans="1:6" ht="60" customHeight="1" x14ac:dyDescent="0.25">
      <c r="A16" s="48" t="s">
        <v>1858</v>
      </c>
      <c r="B16" s="49" t="s">
        <v>1859</v>
      </c>
      <c r="C16" s="49" t="s">
        <v>242</v>
      </c>
      <c r="D16" s="49" t="s">
        <v>1860</v>
      </c>
      <c r="E16" s="49" t="s">
        <v>1861</v>
      </c>
      <c r="F16" s="50"/>
    </row>
    <row r="17" spans="1:6" ht="60" customHeight="1" x14ac:dyDescent="0.25">
      <c r="A17" s="48" t="s">
        <v>1862</v>
      </c>
      <c r="B17" s="49" t="s">
        <v>1863</v>
      </c>
      <c r="C17" s="49" t="s">
        <v>242</v>
      </c>
      <c r="D17" s="49" t="s">
        <v>1864</v>
      </c>
      <c r="E17" s="49" t="s">
        <v>1865</v>
      </c>
      <c r="F17" s="50"/>
    </row>
    <row r="18" spans="1:6" ht="60" customHeight="1" x14ac:dyDescent="0.25">
      <c r="A18" s="48" t="s">
        <v>1866</v>
      </c>
      <c r="B18" s="49" t="s">
        <v>1867</v>
      </c>
      <c r="C18" s="49" t="s">
        <v>242</v>
      </c>
      <c r="D18" s="49" t="s">
        <v>1868</v>
      </c>
      <c r="E18" s="49" t="s">
        <v>1869</v>
      </c>
      <c r="F18" s="50"/>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66"/>
  <sheetViews>
    <sheetView showGridLines="0" tabSelected="1" zoomScale="85" workbookViewId="0">
      <pane ySplit="5" topLeftCell="A164" activePane="bottomLeft" state="frozen"/>
      <selection pane="bottomLeft" activeCell="C47" sqref="C47"/>
    </sheetView>
  </sheetViews>
  <sheetFormatPr baseColWidth="10" defaultColWidth="8.83203125" defaultRowHeight="15" x14ac:dyDescent="0.2"/>
  <cols>
    <col min="1" max="1" width="15" customWidth="1"/>
    <col min="2" max="2" width="40" customWidth="1"/>
    <col min="3" max="3" width="38" customWidth="1"/>
    <col min="4" max="4" width="32" customWidth="1"/>
    <col min="5" max="5" width="52.83203125" customWidth="1"/>
    <col min="6" max="6" width="35.33203125" customWidth="1"/>
    <col min="7" max="7" width="27.33203125" customWidth="1"/>
    <col min="8" max="8" width="75.1640625" customWidth="1"/>
    <col min="9" max="9" width="74" customWidth="1"/>
  </cols>
  <sheetData>
    <row r="1" spans="1:9" ht="19" x14ac:dyDescent="0.25">
      <c r="A1" s="2" t="s">
        <v>1870</v>
      </c>
    </row>
    <row r="2" spans="1:9" ht="19" x14ac:dyDescent="0.25">
      <c r="A2" s="46" t="s">
        <v>1871</v>
      </c>
    </row>
    <row r="4" spans="1:9" ht="40" x14ac:dyDescent="0.2">
      <c r="A4" s="47" t="s">
        <v>1872</v>
      </c>
      <c r="B4" s="47"/>
      <c r="C4" s="47"/>
      <c r="D4" s="47"/>
      <c r="E4" s="47"/>
      <c r="F4" s="47"/>
      <c r="G4" s="47"/>
      <c r="H4" s="47"/>
      <c r="I4" s="47"/>
    </row>
    <row r="5" spans="1:9" ht="32" customHeight="1" x14ac:dyDescent="0.2">
      <c r="A5" s="47" t="s">
        <v>1873</v>
      </c>
      <c r="B5" s="47" t="s">
        <v>1874</v>
      </c>
      <c r="C5" s="47" t="s">
        <v>1875</v>
      </c>
      <c r="D5" s="47" t="s">
        <v>1612</v>
      </c>
      <c r="E5" s="47" t="s">
        <v>1876</v>
      </c>
      <c r="F5" s="47" t="s">
        <v>1877</v>
      </c>
      <c r="G5" s="47" t="s">
        <v>1878</v>
      </c>
      <c r="H5" s="47" t="s">
        <v>1879</v>
      </c>
      <c r="I5" s="47" t="s">
        <v>1880</v>
      </c>
    </row>
    <row r="6" spans="1:9" ht="30" customHeight="1" x14ac:dyDescent="0.2">
      <c r="A6" s="55" t="s">
        <v>1881</v>
      </c>
      <c r="B6" s="56" t="s">
        <v>1882</v>
      </c>
      <c r="C6" s="49" t="s">
        <v>1883</v>
      </c>
      <c r="D6" s="57" t="s">
        <v>1884</v>
      </c>
      <c r="E6" s="49">
        <v>21</v>
      </c>
      <c r="F6" s="49">
        <v>16</v>
      </c>
      <c r="G6" s="49" t="s">
        <v>242</v>
      </c>
      <c r="H6" s="49" t="s">
        <v>1885</v>
      </c>
      <c r="I6" s="58" t="s">
        <v>1886</v>
      </c>
    </row>
    <row r="7" spans="1:9" ht="30" customHeight="1" x14ac:dyDescent="0.2">
      <c r="A7" s="55" t="s">
        <v>1887</v>
      </c>
      <c r="B7" s="56" t="s">
        <v>1888</v>
      </c>
      <c r="C7" s="49" t="s">
        <v>1883</v>
      </c>
      <c r="D7" s="57" t="s">
        <v>1884</v>
      </c>
      <c r="E7" s="49">
        <v>2</v>
      </c>
      <c r="F7" s="49">
        <v>0</v>
      </c>
      <c r="G7" s="49" t="s">
        <v>242</v>
      </c>
      <c r="H7" s="49" t="s">
        <v>1889</v>
      </c>
      <c r="I7" s="58" t="s">
        <v>1890</v>
      </c>
    </row>
    <row r="8" spans="1:9" ht="30" customHeight="1" x14ac:dyDescent="0.2">
      <c r="A8" s="55" t="s">
        <v>1891</v>
      </c>
      <c r="B8" s="56" t="s">
        <v>1892</v>
      </c>
      <c r="C8" s="49" t="s">
        <v>1883</v>
      </c>
      <c r="D8" s="57" t="s">
        <v>1884</v>
      </c>
      <c r="E8" s="49">
        <v>11</v>
      </c>
      <c r="F8" s="49">
        <v>4</v>
      </c>
      <c r="G8" s="49" t="s">
        <v>242</v>
      </c>
      <c r="H8" s="49" t="s">
        <v>1893</v>
      </c>
      <c r="I8" s="58" t="s">
        <v>1894</v>
      </c>
    </row>
    <row r="9" spans="1:9" ht="30" customHeight="1" x14ac:dyDescent="0.2">
      <c r="A9" s="55" t="s">
        <v>1895</v>
      </c>
      <c r="B9" s="56" t="s">
        <v>1896</v>
      </c>
      <c r="C9" s="49" t="s">
        <v>1883</v>
      </c>
      <c r="D9" s="57" t="s">
        <v>1897</v>
      </c>
      <c r="E9" s="49">
        <v>0</v>
      </c>
      <c r="F9" s="49">
        <v>0</v>
      </c>
      <c r="G9" s="49" t="s">
        <v>1898</v>
      </c>
      <c r="H9" s="49" t="s">
        <v>1898</v>
      </c>
      <c r="I9" s="58" t="s">
        <v>1899</v>
      </c>
    </row>
    <row r="10" spans="1:9" ht="30" customHeight="1" x14ac:dyDescent="0.2">
      <c r="A10" s="55" t="s">
        <v>1900</v>
      </c>
      <c r="B10" s="56" t="s">
        <v>1901</v>
      </c>
      <c r="C10" s="49" t="s">
        <v>1883</v>
      </c>
      <c r="D10" s="57" t="s">
        <v>1884</v>
      </c>
      <c r="E10" s="49">
        <v>8</v>
      </c>
      <c r="F10" s="49">
        <v>7</v>
      </c>
      <c r="G10" s="49" t="s">
        <v>1902</v>
      </c>
      <c r="H10" s="49" t="s">
        <v>1903</v>
      </c>
      <c r="I10" s="58" t="s">
        <v>1904</v>
      </c>
    </row>
    <row r="11" spans="1:9" ht="30" customHeight="1" x14ac:dyDescent="0.2">
      <c r="A11" s="55" t="s">
        <v>1905</v>
      </c>
      <c r="B11" s="56" t="s">
        <v>1906</v>
      </c>
      <c r="C11" s="49" t="s">
        <v>1883</v>
      </c>
      <c r="D11" s="57" t="s">
        <v>1884</v>
      </c>
      <c r="E11" s="49">
        <v>15</v>
      </c>
      <c r="F11" s="49">
        <v>9</v>
      </c>
      <c r="G11" s="49" t="s">
        <v>242</v>
      </c>
      <c r="H11" s="49" t="s">
        <v>1907</v>
      </c>
      <c r="I11" s="58" t="s">
        <v>1908</v>
      </c>
    </row>
    <row r="12" spans="1:9" ht="30" customHeight="1" x14ac:dyDescent="0.2">
      <c r="A12" s="55" t="s">
        <v>1909</v>
      </c>
      <c r="B12" s="56" t="s">
        <v>1910</v>
      </c>
      <c r="C12" s="49" t="s">
        <v>1883</v>
      </c>
      <c r="D12" s="57" t="s">
        <v>1884</v>
      </c>
      <c r="E12" s="49">
        <v>14</v>
      </c>
      <c r="F12" s="49">
        <v>9</v>
      </c>
      <c r="G12" s="49" t="s">
        <v>1902</v>
      </c>
      <c r="H12" s="49" t="s">
        <v>1911</v>
      </c>
      <c r="I12" s="58" t="s">
        <v>1912</v>
      </c>
    </row>
    <row r="13" spans="1:9" ht="30" customHeight="1" x14ac:dyDescent="0.2">
      <c r="A13" s="55" t="s">
        <v>1913</v>
      </c>
      <c r="B13" s="56" t="s">
        <v>1914</v>
      </c>
      <c r="C13" s="49" t="s">
        <v>1883</v>
      </c>
      <c r="D13" s="57" t="s">
        <v>1884</v>
      </c>
      <c r="E13" s="49">
        <v>5</v>
      </c>
      <c r="F13" s="49">
        <v>2</v>
      </c>
      <c r="G13" s="49" t="s">
        <v>242</v>
      </c>
      <c r="H13" s="49" t="s">
        <v>1915</v>
      </c>
      <c r="I13" s="58" t="s">
        <v>1916</v>
      </c>
    </row>
    <row r="14" spans="1:9" ht="30" customHeight="1" x14ac:dyDescent="0.2">
      <c r="A14" s="55" t="s">
        <v>1917</v>
      </c>
      <c r="B14" s="56" t="s">
        <v>1918</v>
      </c>
      <c r="C14" s="49" t="s">
        <v>1883</v>
      </c>
      <c r="D14" s="57" t="s">
        <v>1884</v>
      </c>
      <c r="E14" s="49">
        <v>3</v>
      </c>
      <c r="F14" s="49">
        <v>3</v>
      </c>
      <c r="G14" s="49" t="s">
        <v>242</v>
      </c>
      <c r="H14" s="49" t="s">
        <v>184</v>
      </c>
      <c r="I14" s="58" t="s">
        <v>1919</v>
      </c>
    </row>
    <row r="15" spans="1:9" ht="30" customHeight="1" x14ac:dyDescent="0.2">
      <c r="A15" s="55" t="s">
        <v>1920</v>
      </c>
      <c r="B15" s="56" t="s">
        <v>1921</v>
      </c>
      <c r="C15" s="49" t="s">
        <v>1883</v>
      </c>
      <c r="D15" s="57" t="s">
        <v>1884</v>
      </c>
      <c r="E15" s="49">
        <v>3</v>
      </c>
      <c r="F15" s="49">
        <v>3</v>
      </c>
      <c r="G15" s="49" t="s">
        <v>242</v>
      </c>
      <c r="H15" s="49" t="s">
        <v>186</v>
      </c>
      <c r="I15" s="58" t="s">
        <v>1922</v>
      </c>
    </row>
    <row r="16" spans="1:9" ht="30" customHeight="1" x14ac:dyDescent="0.2">
      <c r="A16" s="55" t="s">
        <v>387</v>
      </c>
      <c r="B16" s="56" t="s">
        <v>1923</v>
      </c>
      <c r="C16" s="49" t="s">
        <v>1883</v>
      </c>
      <c r="D16" s="57" t="s">
        <v>1884</v>
      </c>
      <c r="E16" s="49">
        <v>11</v>
      </c>
      <c r="F16" s="49">
        <v>6</v>
      </c>
      <c r="G16" s="49" t="s">
        <v>1902</v>
      </c>
      <c r="H16" s="49" t="s">
        <v>1924</v>
      </c>
      <c r="I16" s="58" t="s">
        <v>1925</v>
      </c>
    </row>
    <row r="17" spans="1:9" ht="30" customHeight="1" x14ac:dyDescent="0.2">
      <c r="A17" s="55" t="s">
        <v>1926</v>
      </c>
      <c r="B17" s="56" t="s">
        <v>1927</v>
      </c>
      <c r="C17" s="49" t="s">
        <v>1883</v>
      </c>
      <c r="D17" s="57" t="s">
        <v>1884</v>
      </c>
      <c r="E17" s="49">
        <v>16</v>
      </c>
      <c r="F17" s="49">
        <v>14</v>
      </c>
      <c r="G17" s="49" t="s">
        <v>1902</v>
      </c>
      <c r="H17" s="49" t="s">
        <v>1928</v>
      </c>
      <c r="I17" s="58" t="s">
        <v>1929</v>
      </c>
    </row>
    <row r="18" spans="1:9" ht="30" customHeight="1" x14ac:dyDescent="0.2">
      <c r="A18" s="55" t="s">
        <v>332</v>
      </c>
      <c r="B18" s="56" t="s">
        <v>1930</v>
      </c>
      <c r="C18" s="49" t="s">
        <v>1883</v>
      </c>
      <c r="D18" s="57" t="s">
        <v>1884</v>
      </c>
      <c r="E18" s="49">
        <v>41</v>
      </c>
      <c r="F18" s="49">
        <v>34</v>
      </c>
      <c r="G18" s="49" t="s">
        <v>1902</v>
      </c>
      <c r="H18" s="49" t="s">
        <v>1931</v>
      </c>
      <c r="I18" s="58" t="s">
        <v>1932</v>
      </c>
    </row>
    <row r="19" spans="1:9" ht="30" customHeight="1" x14ac:dyDescent="0.2">
      <c r="A19" s="55" t="s">
        <v>1933</v>
      </c>
      <c r="B19" s="56" t="s">
        <v>1934</v>
      </c>
      <c r="C19" s="49" t="s">
        <v>1883</v>
      </c>
      <c r="D19" s="57" t="s">
        <v>1884</v>
      </c>
      <c r="E19" s="49">
        <v>9</v>
      </c>
      <c r="F19" s="49">
        <v>7</v>
      </c>
      <c r="G19" s="49" t="s">
        <v>242</v>
      </c>
      <c r="H19" s="49" t="s">
        <v>1935</v>
      </c>
      <c r="I19" s="58" t="s">
        <v>1936</v>
      </c>
    </row>
    <row r="20" spans="1:9" ht="30" customHeight="1" x14ac:dyDescent="0.2">
      <c r="A20" s="55" t="s">
        <v>1937</v>
      </c>
      <c r="B20" s="56" t="s">
        <v>1938</v>
      </c>
      <c r="C20" s="49" t="s">
        <v>1883</v>
      </c>
      <c r="D20" s="57" t="s">
        <v>1884</v>
      </c>
      <c r="E20" s="49">
        <v>10</v>
      </c>
      <c r="F20" s="49">
        <v>6</v>
      </c>
      <c r="G20" s="49" t="s">
        <v>242</v>
      </c>
      <c r="H20" s="49" t="s">
        <v>1939</v>
      </c>
      <c r="I20" s="58" t="s">
        <v>1940</v>
      </c>
    </row>
    <row r="21" spans="1:9" ht="30" customHeight="1" x14ac:dyDescent="0.2">
      <c r="A21" s="55" t="s">
        <v>1941</v>
      </c>
      <c r="B21" s="56" t="s">
        <v>1942</v>
      </c>
      <c r="C21" s="49" t="s">
        <v>1883</v>
      </c>
      <c r="D21" s="57" t="s">
        <v>1884</v>
      </c>
      <c r="E21" s="49">
        <v>6</v>
      </c>
      <c r="F21" s="49">
        <v>4</v>
      </c>
      <c r="G21" s="49" t="s">
        <v>1902</v>
      </c>
      <c r="H21" s="49" t="s">
        <v>1943</v>
      </c>
      <c r="I21" s="58" t="s">
        <v>1944</v>
      </c>
    </row>
    <row r="22" spans="1:9" ht="30" customHeight="1" x14ac:dyDescent="0.2">
      <c r="A22" s="55" t="s">
        <v>1945</v>
      </c>
      <c r="B22" s="56" t="s">
        <v>1946</v>
      </c>
      <c r="C22" s="49" t="s">
        <v>1883</v>
      </c>
      <c r="D22" s="57" t="s">
        <v>1884</v>
      </c>
      <c r="E22" s="49">
        <v>7</v>
      </c>
      <c r="F22" s="49">
        <v>2</v>
      </c>
      <c r="G22" s="49" t="s">
        <v>242</v>
      </c>
      <c r="H22" s="49" t="s">
        <v>1947</v>
      </c>
      <c r="I22" s="58" t="s">
        <v>1948</v>
      </c>
    </row>
    <row r="23" spans="1:9" ht="30" customHeight="1" x14ac:dyDescent="0.2">
      <c r="A23" s="55" t="s">
        <v>1949</v>
      </c>
      <c r="B23" s="56" t="s">
        <v>1950</v>
      </c>
      <c r="C23" s="49" t="s">
        <v>1883</v>
      </c>
      <c r="D23" s="57" t="s">
        <v>1884</v>
      </c>
      <c r="E23" s="49">
        <v>31</v>
      </c>
      <c r="F23" s="49">
        <v>19</v>
      </c>
      <c r="G23" s="49" t="s">
        <v>1902</v>
      </c>
      <c r="H23" s="49" t="s">
        <v>1951</v>
      </c>
      <c r="I23" s="58" t="s">
        <v>1952</v>
      </c>
    </row>
    <row r="24" spans="1:9" ht="30" customHeight="1" x14ac:dyDescent="0.2">
      <c r="A24" s="55" t="s">
        <v>394</v>
      </c>
      <c r="B24" s="56" t="s">
        <v>1953</v>
      </c>
      <c r="C24" s="49" t="s">
        <v>1883</v>
      </c>
      <c r="D24" s="57" t="s">
        <v>1884</v>
      </c>
      <c r="E24" s="49">
        <v>3</v>
      </c>
      <c r="F24" s="49">
        <v>2</v>
      </c>
      <c r="G24" s="49" t="s">
        <v>242</v>
      </c>
      <c r="H24" s="49" t="s">
        <v>1954</v>
      </c>
      <c r="I24" s="58" t="s">
        <v>1955</v>
      </c>
    </row>
    <row r="25" spans="1:9" ht="30" customHeight="1" x14ac:dyDescent="0.2">
      <c r="A25" s="55" t="s">
        <v>1956</v>
      </c>
      <c r="B25" s="56" t="s">
        <v>1957</v>
      </c>
      <c r="C25" s="49" t="s">
        <v>1883</v>
      </c>
      <c r="D25" s="57" t="s">
        <v>1884</v>
      </c>
      <c r="E25" s="49">
        <v>1</v>
      </c>
      <c r="F25" s="49">
        <v>0</v>
      </c>
      <c r="G25" s="49" t="s">
        <v>242</v>
      </c>
      <c r="H25" s="49" t="s">
        <v>177</v>
      </c>
      <c r="I25" s="58" t="s">
        <v>938</v>
      </c>
    </row>
    <row r="26" spans="1:9" ht="30" customHeight="1" x14ac:dyDescent="0.2">
      <c r="A26" s="55" t="s">
        <v>1958</v>
      </c>
      <c r="B26" s="56" t="s">
        <v>1959</v>
      </c>
      <c r="C26" s="49" t="s">
        <v>1883</v>
      </c>
      <c r="D26" s="57" t="s">
        <v>1884</v>
      </c>
      <c r="E26" s="49">
        <v>13</v>
      </c>
      <c r="F26" s="49">
        <v>7</v>
      </c>
      <c r="G26" s="49" t="s">
        <v>1902</v>
      </c>
      <c r="H26" s="49" t="s">
        <v>1960</v>
      </c>
      <c r="I26" s="58" t="s">
        <v>1961</v>
      </c>
    </row>
    <row r="27" spans="1:9" ht="30" customHeight="1" x14ac:dyDescent="0.2">
      <c r="A27" s="55" t="s">
        <v>1962</v>
      </c>
      <c r="B27" s="56" t="s">
        <v>1963</v>
      </c>
      <c r="C27" s="49" t="s">
        <v>1883</v>
      </c>
      <c r="D27" s="57" t="s">
        <v>1884</v>
      </c>
      <c r="E27" s="49">
        <v>8</v>
      </c>
      <c r="F27" s="49">
        <v>6</v>
      </c>
      <c r="G27" s="49" t="s">
        <v>242</v>
      </c>
      <c r="H27" s="49" t="s">
        <v>1964</v>
      </c>
      <c r="I27" s="58" t="s">
        <v>1965</v>
      </c>
    </row>
    <row r="28" spans="1:9" ht="30" customHeight="1" x14ac:dyDescent="0.2">
      <c r="A28" s="55" t="s">
        <v>1966</v>
      </c>
      <c r="B28" s="56" t="s">
        <v>1967</v>
      </c>
      <c r="C28" s="49" t="s">
        <v>1968</v>
      </c>
      <c r="D28" s="57" t="s">
        <v>1884</v>
      </c>
      <c r="E28" s="49">
        <v>2</v>
      </c>
      <c r="F28" s="49">
        <v>0</v>
      </c>
      <c r="G28" s="49" t="s">
        <v>242</v>
      </c>
      <c r="H28" s="49" t="s">
        <v>1969</v>
      </c>
      <c r="I28" s="58" t="s">
        <v>1970</v>
      </c>
    </row>
    <row r="29" spans="1:9" ht="30" customHeight="1" x14ac:dyDescent="0.2">
      <c r="A29" s="55" t="s">
        <v>1971</v>
      </c>
      <c r="B29" s="56" t="s">
        <v>1972</v>
      </c>
      <c r="C29" s="49" t="s">
        <v>1968</v>
      </c>
      <c r="D29" s="57" t="s">
        <v>1884</v>
      </c>
      <c r="E29" s="49">
        <v>1</v>
      </c>
      <c r="F29" s="49">
        <v>0</v>
      </c>
      <c r="G29" s="49" t="s">
        <v>242</v>
      </c>
      <c r="H29" s="49" t="s">
        <v>178</v>
      </c>
      <c r="I29" s="58" t="s">
        <v>954</v>
      </c>
    </row>
    <row r="30" spans="1:9" ht="30" customHeight="1" x14ac:dyDescent="0.2">
      <c r="A30" s="55" t="s">
        <v>1973</v>
      </c>
      <c r="B30" s="56" t="s">
        <v>1974</v>
      </c>
      <c r="C30" s="49" t="s">
        <v>1968</v>
      </c>
      <c r="D30" s="57" t="s">
        <v>1884</v>
      </c>
      <c r="E30" s="49">
        <v>2</v>
      </c>
      <c r="F30" s="49">
        <v>0</v>
      </c>
      <c r="G30" s="49" t="s">
        <v>242</v>
      </c>
      <c r="H30" s="49" t="s">
        <v>1975</v>
      </c>
      <c r="I30" s="58" t="s">
        <v>1976</v>
      </c>
    </row>
    <row r="31" spans="1:9" ht="30" customHeight="1" x14ac:dyDescent="0.2">
      <c r="A31" s="55" t="s">
        <v>1977</v>
      </c>
      <c r="B31" s="56" t="s">
        <v>1978</v>
      </c>
      <c r="C31" s="49" t="s">
        <v>1968</v>
      </c>
      <c r="D31" s="57" t="s">
        <v>1979</v>
      </c>
      <c r="E31" s="49">
        <v>2</v>
      </c>
      <c r="F31" s="49">
        <v>0</v>
      </c>
      <c r="G31" s="49" t="s">
        <v>242</v>
      </c>
      <c r="H31" s="49" t="s">
        <v>1980</v>
      </c>
      <c r="I31" s="58" t="s">
        <v>1981</v>
      </c>
    </row>
    <row r="32" spans="1:9" ht="30" customHeight="1" x14ac:dyDescent="0.2">
      <c r="A32" s="55" t="s">
        <v>1982</v>
      </c>
      <c r="B32" s="56" t="s">
        <v>1983</v>
      </c>
      <c r="C32" s="49" t="s">
        <v>1984</v>
      </c>
      <c r="D32" s="57" t="s">
        <v>1985</v>
      </c>
      <c r="E32" s="49">
        <v>4</v>
      </c>
      <c r="F32" s="49">
        <v>0</v>
      </c>
      <c r="G32" s="49" t="s">
        <v>1902</v>
      </c>
      <c r="H32" s="49" t="s">
        <v>1986</v>
      </c>
      <c r="I32" s="58" t="s">
        <v>1987</v>
      </c>
    </row>
    <row r="33" spans="1:9" ht="30" customHeight="1" x14ac:dyDescent="0.2">
      <c r="A33" s="55" t="s">
        <v>1988</v>
      </c>
      <c r="B33" s="56" t="s">
        <v>1989</v>
      </c>
      <c r="C33" s="49" t="s">
        <v>1883</v>
      </c>
      <c r="D33" s="57" t="s">
        <v>1990</v>
      </c>
      <c r="E33" s="49">
        <v>1</v>
      </c>
      <c r="F33" s="49">
        <v>0</v>
      </c>
      <c r="G33" s="49" t="s">
        <v>233</v>
      </c>
      <c r="H33" s="49" t="s">
        <v>158</v>
      </c>
      <c r="I33" s="58" t="s">
        <v>55</v>
      </c>
    </row>
    <row r="34" spans="1:9" ht="30" customHeight="1" x14ac:dyDescent="0.2">
      <c r="A34" s="55" t="s">
        <v>1991</v>
      </c>
      <c r="B34" s="56" t="s">
        <v>1992</v>
      </c>
      <c r="C34" s="49" t="s">
        <v>1883</v>
      </c>
      <c r="D34" s="57" t="s">
        <v>1993</v>
      </c>
      <c r="E34" s="49">
        <v>2</v>
      </c>
      <c r="F34" s="49">
        <v>0</v>
      </c>
      <c r="G34" s="49" t="s">
        <v>1902</v>
      </c>
      <c r="H34" s="49" t="s">
        <v>166</v>
      </c>
      <c r="I34" s="58" t="s">
        <v>1994</v>
      </c>
    </row>
    <row r="35" spans="1:9" ht="30" customHeight="1" x14ac:dyDescent="0.2">
      <c r="A35" s="55" t="s">
        <v>1995</v>
      </c>
      <c r="B35" s="56" t="s">
        <v>1996</v>
      </c>
      <c r="C35" s="49" t="s">
        <v>1968</v>
      </c>
      <c r="D35" s="57" t="s">
        <v>1997</v>
      </c>
      <c r="E35" s="49">
        <v>2</v>
      </c>
      <c r="F35" s="49">
        <v>0</v>
      </c>
      <c r="G35" s="49" t="s">
        <v>1902</v>
      </c>
      <c r="H35" s="49" t="s">
        <v>1998</v>
      </c>
      <c r="I35" s="58" t="s">
        <v>1999</v>
      </c>
    </row>
    <row r="37" spans="1:9" ht="60" x14ac:dyDescent="0.2">
      <c r="A37" s="47" t="s">
        <v>2000</v>
      </c>
      <c r="B37" s="47"/>
      <c r="C37" s="47"/>
      <c r="D37" s="47"/>
      <c r="E37" s="47"/>
      <c r="F37" s="47"/>
      <c r="G37" s="47"/>
      <c r="H37" s="47"/>
      <c r="I37" s="47"/>
    </row>
    <row r="38" spans="1:9" ht="26" customHeight="1" x14ac:dyDescent="0.2">
      <c r="A38" s="47" t="s">
        <v>48</v>
      </c>
      <c r="B38" s="47" t="s">
        <v>30</v>
      </c>
      <c r="C38" s="47" t="s">
        <v>2001</v>
      </c>
      <c r="D38" s="47" t="s">
        <v>224</v>
      </c>
      <c r="E38" s="47"/>
      <c r="F38" s="47"/>
      <c r="G38" s="47"/>
      <c r="H38" s="47"/>
      <c r="I38" s="47"/>
    </row>
    <row r="39" spans="1:9" ht="26" customHeight="1" x14ac:dyDescent="0.2">
      <c r="A39" s="55" t="str">
        <f>'CC3 Controls'!A15</f>
        <v>CC3.2-04</v>
      </c>
      <c r="B39" s="56" t="str">
        <f>'CC3 Controls'!B15</f>
        <v>CC3.2</v>
      </c>
      <c r="C39" s="49" t="s">
        <v>2002</v>
      </c>
      <c r="D39" s="57">
        <f>'CC3 Controls'!J15</f>
        <v>1</v>
      </c>
      <c r="E39" s="49"/>
      <c r="F39" s="49"/>
      <c r="G39" s="49"/>
      <c r="H39" s="49"/>
      <c r="I39" s="58"/>
    </row>
    <row r="40" spans="1:9" ht="26" customHeight="1" x14ac:dyDescent="0.2">
      <c r="A40" s="55" t="str">
        <f>'CC3 Controls'!A28</f>
        <v>CC3.4-04</v>
      </c>
      <c r="B40" s="56" t="str">
        <f>'CC3 Controls'!B28</f>
        <v>CC3.4</v>
      </c>
      <c r="C40" s="49" t="s">
        <v>2003</v>
      </c>
      <c r="D40" s="57">
        <f>'CC3 Controls'!J28</f>
        <v>1</v>
      </c>
      <c r="E40" s="49"/>
      <c r="F40" s="49"/>
      <c r="G40" s="49"/>
      <c r="H40" s="49"/>
      <c r="I40" s="58"/>
    </row>
    <row r="41" spans="1:9" ht="26" customHeight="1" x14ac:dyDescent="0.2">
      <c r="A41" s="55" t="str">
        <f>'CC6 Controls'!A20</f>
        <v>CC6.3-04</v>
      </c>
      <c r="B41" s="56" t="str">
        <f>'CC6 Controls'!B20</f>
        <v>CC6.3</v>
      </c>
      <c r="C41" s="49" t="s">
        <v>2004</v>
      </c>
      <c r="D41" s="57">
        <f>'CC6 Controls'!J20</f>
        <v>1</v>
      </c>
      <c r="E41" s="49"/>
      <c r="F41" s="49"/>
      <c r="G41" s="49"/>
      <c r="H41" s="49"/>
      <c r="I41" s="58"/>
    </row>
    <row r="42" spans="1:9" ht="26" customHeight="1" x14ac:dyDescent="0.2">
      <c r="A42" s="55" t="str">
        <f>'CC6 Controls'!A38</f>
        <v>CC6.7-02</v>
      </c>
      <c r="B42" s="56" t="str">
        <f>'CC6 Controls'!B38</f>
        <v>CC6.7</v>
      </c>
      <c r="C42" s="49" t="s">
        <v>2005</v>
      </c>
      <c r="D42" s="57">
        <f>'CC6 Controls'!J38</f>
        <v>1</v>
      </c>
      <c r="E42" s="49"/>
      <c r="F42" s="49"/>
      <c r="G42" s="49"/>
      <c r="H42" s="49"/>
      <c r="I42" s="58"/>
    </row>
    <row r="43" spans="1:9" ht="26" customHeight="1" x14ac:dyDescent="0.2">
      <c r="A43" s="55" t="str">
        <f>'CC6 Controls'!A39</f>
        <v>CC6.7-03</v>
      </c>
      <c r="B43" s="56" t="str">
        <f>'CC6 Controls'!B39</f>
        <v>CC6.7</v>
      </c>
      <c r="C43" s="49" t="s">
        <v>2006</v>
      </c>
      <c r="D43" s="57">
        <f>'CC6 Controls'!J39</f>
        <v>1</v>
      </c>
      <c r="E43" s="49"/>
      <c r="F43" s="49"/>
      <c r="G43" s="49"/>
      <c r="H43" s="49"/>
      <c r="I43" s="58"/>
    </row>
    <row r="44" spans="1:9" ht="26" customHeight="1" x14ac:dyDescent="0.2">
      <c r="A44" s="55" t="str">
        <f>'CC6 Controls'!A40</f>
        <v>CC6.7-04</v>
      </c>
      <c r="B44" s="56" t="str">
        <f>'CC6 Controls'!B40</f>
        <v>CC6.7</v>
      </c>
      <c r="C44" s="49" t="s">
        <v>2007</v>
      </c>
      <c r="D44" s="57">
        <f>'CC6 Controls'!J40</f>
        <v>1</v>
      </c>
      <c r="E44" s="49"/>
      <c r="F44" s="49"/>
      <c r="G44" s="49"/>
      <c r="H44" s="49"/>
      <c r="I44" s="58"/>
    </row>
    <row r="45" spans="1:9" ht="26" customHeight="1" x14ac:dyDescent="0.2">
      <c r="A45" s="55" t="str">
        <f>'CC7 Controls'!A9</f>
        <v>CC7.1-04</v>
      </c>
      <c r="B45" s="56" t="str">
        <f>'CC7 Controls'!B9</f>
        <v>CC7.1</v>
      </c>
      <c r="C45" s="49" t="s">
        <v>2008</v>
      </c>
      <c r="D45" s="57">
        <f>'CC7 Controls'!J9</f>
        <v>1</v>
      </c>
      <c r="E45" s="49"/>
      <c r="F45" s="49"/>
      <c r="G45" s="49"/>
      <c r="H45" s="49"/>
      <c r="I45" s="58"/>
    </row>
    <row r="46" spans="1:9" ht="26" customHeight="1" x14ac:dyDescent="0.2">
      <c r="A46" s="55" t="str">
        <f>'CC7 Controls'!A14</f>
        <v>CC7.2-04</v>
      </c>
      <c r="B46" s="56" t="str">
        <f>'CC7 Controls'!B14</f>
        <v>CC7.2</v>
      </c>
      <c r="C46" s="49" t="s">
        <v>2009</v>
      </c>
      <c r="D46" s="57">
        <f>'CC7 Controls'!J14</f>
        <v>1</v>
      </c>
      <c r="E46" s="49"/>
      <c r="F46" s="49"/>
      <c r="G46" s="49"/>
      <c r="H46" s="49"/>
      <c r="I46" s="58"/>
    </row>
    <row r="47" spans="1:9" ht="26" customHeight="1" x14ac:dyDescent="0.2">
      <c r="A47" s="55" t="str">
        <f>'CC7 Controls'!A25</f>
        <v>CC7.4-05</v>
      </c>
      <c r="B47" s="56" t="str">
        <f>'CC7 Controls'!B25</f>
        <v>CC7.4</v>
      </c>
      <c r="C47" s="49" t="s">
        <v>2010</v>
      </c>
      <c r="D47" s="57">
        <f>'CC7 Controls'!J25</f>
        <v>1</v>
      </c>
      <c r="E47" s="49"/>
      <c r="F47" s="49"/>
      <c r="G47" s="49"/>
      <c r="H47" s="49"/>
      <c r="I47" s="58"/>
    </row>
    <row r="48" spans="1:9" ht="26" customHeight="1" x14ac:dyDescent="0.2">
      <c r="A48" s="55" t="str">
        <f>'CC8 Controls'!A11</f>
        <v>CC8.1-06</v>
      </c>
      <c r="B48" s="56" t="str">
        <f>'CC8 Controls'!B11</f>
        <v>CC8.1</v>
      </c>
      <c r="C48" s="49" t="s">
        <v>2011</v>
      </c>
      <c r="D48" s="57">
        <f>'CC8 Controls'!J11</f>
        <v>1</v>
      </c>
      <c r="E48" s="49"/>
      <c r="F48" s="49"/>
      <c r="G48" s="49"/>
      <c r="H48" s="49"/>
      <c r="I48" s="58"/>
    </row>
    <row r="49" spans="1:9" ht="26" customHeight="1" x14ac:dyDescent="0.2">
      <c r="A49" s="55" t="str">
        <f>'CC9 Controls'!A15</f>
        <v>CC9.2-04</v>
      </c>
      <c r="B49" s="56" t="str">
        <f>'CC9 Controls'!B15</f>
        <v>CC9.2</v>
      </c>
      <c r="C49" s="49" t="s">
        <v>2012</v>
      </c>
      <c r="D49" s="57">
        <f>'CC9 Controls'!J15</f>
        <v>1</v>
      </c>
      <c r="E49" s="49"/>
      <c r="F49" s="49"/>
      <c r="G49" s="49"/>
      <c r="H49" s="49"/>
      <c r="I49" s="58"/>
    </row>
    <row r="51" spans="1:9" ht="40" x14ac:dyDescent="0.2">
      <c r="A51" s="47" t="s">
        <v>2013</v>
      </c>
      <c r="B51" s="47"/>
      <c r="C51" s="47"/>
      <c r="D51" s="47"/>
      <c r="E51" s="47"/>
      <c r="F51" s="47"/>
      <c r="G51" s="47"/>
      <c r="H51" s="47"/>
      <c r="I51" s="47"/>
    </row>
    <row r="52" spans="1:9" ht="26" customHeight="1" x14ac:dyDescent="0.2">
      <c r="A52" s="47" t="s">
        <v>2014</v>
      </c>
      <c r="B52" s="47" t="s">
        <v>2015</v>
      </c>
      <c r="C52" s="47" t="s">
        <v>30</v>
      </c>
      <c r="D52" s="47" t="s">
        <v>2016</v>
      </c>
      <c r="E52" s="47" t="s">
        <v>2017</v>
      </c>
      <c r="F52" s="47" t="s">
        <v>2018</v>
      </c>
      <c r="G52" s="47"/>
      <c r="H52" s="47"/>
      <c r="I52" s="47"/>
    </row>
    <row r="53" spans="1:9" ht="30" customHeight="1" x14ac:dyDescent="0.2">
      <c r="A53" s="55" t="s">
        <v>2019</v>
      </c>
      <c r="B53" s="56" t="s">
        <v>51</v>
      </c>
      <c r="C53" s="49" t="s">
        <v>158</v>
      </c>
      <c r="D53" s="57" t="s">
        <v>233</v>
      </c>
      <c r="E53" s="49" t="s">
        <v>2020</v>
      </c>
      <c r="F53" s="49" t="s">
        <v>241</v>
      </c>
      <c r="G53" s="49"/>
      <c r="H53" s="49"/>
      <c r="I53" s="58"/>
    </row>
    <row r="54" spans="1:9" ht="30" customHeight="1" x14ac:dyDescent="0.2">
      <c r="A54" s="55" t="s">
        <v>2019</v>
      </c>
      <c r="B54" s="56" t="s">
        <v>53</v>
      </c>
      <c r="C54" s="49" t="s">
        <v>158</v>
      </c>
      <c r="D54" s="57" t="s">
        <v>242</v>
      </c>
      <c r="E54" s="49" t="s">
        <v>2020</v>
      </c>
      <c r="F54" s="49" t="s">
        <v>250</v>
      </c>
      <c r="G54" s="49"/>
      <c r="H54" s="49"/>
      <c r="I54" s="58"/>
    </row>
    <row r="55" spans="1:9" ht="30" customHeight="1" x14ac:dyDescent="0.2">
      <c r="A55" s="55" t="s">
        <v>2019</v>
      </c>
      <c r="B55" s="56" t="s">
        <v>55</v>
      </c>
      <c r="C55" s="49" t="s">
        <v>158</v>
      </c>
      <c r="D55" s="57" t="s">
        <v>233</v>
      </c>
      <c r="E55" s="49" t="s">
        <v>2021</v>
      </c>
      <c r="F55" s="49" t="s">
        <v>257</v>
      </c>
      <c r="G55" s="49"/>
      <c r="H55" s="49"/>
      <c r="I55" s="58"/>
    </row>
    <row r="56" spans="1:9" ht="30" customHeight="1" x14ac:dyDescent="0.2">
      <c r="A56" s="55" t="s">
        <v>2019</v>
      </c>
      <c r="B56" s="56" t="s">
        <v>57</v>
      </c>
      <c r="C56" s="49" t="s">
        <v>158</v>
      </c>
      <c r="D56" s="57" t="s">
        <v>233</v>
      </c>
      <c r="E56" s="49" t="s">
        <v>2022</v>
      </c>
      <c r="F56" s="49" t="s">
        <v>265</v>
      </c>
      <c r="G56" s="49"/>
      <c r="H56" s="49"/>
      <c r="I56" s="58"/>
    </row>
    <row r="57" spans="1:9" ht="30" customHeight="1" x14ac:dyDescent="0.2">
      <c r="A57" s="55" t="s">
        <v>2019</v>
      </c>
      <c r="B57" s="56" t="s">
        <v>59</v>
      </c>
      <c r="C57" s="49" t="s">
        <v>158</v>
      </c>
      <c r="D57" s="57" t="s">
        <v>233</v>
      </c>
      <c r="E57" s="49" t="s">
        <v>2020</v>
      </c>
      <c r="F57" s="49" t="s">
        <v>273</v>
      </c>
      <c r="G57" s="49"/>
      <c r="H57" s="49"/>
      <c r="I57" s="58"/>
    </row>
    <row r="58" spans="1:9" ht="30" customHeight="1" x14ac:dyDescent="0.2">
      <c r="A58" s="55" t="s">
        <v>2019</v>
      </c>
      <c r="B58" s="56" t="s">
        <v>274</v>
      </c>
      <c r="C58" s="49" t="s">
        <v>158</v>
      </c>
      <c r="D58" s="57" t="s">
        <v>233</v>
      </c>
      <c r="E58" s="49" t="s">
        <v>2023</v>
      </c>
      <c r="F58" s="49" t="s">
        <v>283</v>
      </c>
      <c r="G58" s="49"/>
      <c r="H58" s="49"/>
      <c r="I58" s="58"/>
    </row>
    <row r="59" spans="1:9" ht="30" customHeight="1" x14ac:dyDescent="0.2">
      <c r="A59" s="55" t="s">
        <v>2019</v>
      </c>
      <c r="B59" s="56" t="s">
        <v>294</v>
      </c>
      <c r="C59" s="49" t="s">
        <v>159</v>
      </c>
      <c r="D59" s="57" t="s">
        <v>233</v>
      </c>
      <c r="E59" s="49" t="s">
        <v>2020</v>
      </c>
      <c r="F59" s="49" t="s">
        <v>301</v>
      </c>
      <c r="G59" s="49"/>
      <c r="H59" s="49"/>
      <c r="I59" s="58"/>
    </row>
    <row r="60" spans="1:9" ht="30" customHeight="1" x14ac:dyDescent="0.2">
      <c r="A60" s="55" t="s">
        <v>2019</v>
      </c>
      <c r="B60" s="56" t="s">
        <v>302</v>
      </c>
      <c r="C60" s="49" t="s">
        <v>159</v>
      </c>
      <c r="D60" s="57" t="s">
        <v>242</v>
      </c>
      <c r="E60" s="49" t="s">
        <v>2020</v>
      </c>
      <c r="F60" s="49" t="s">
        <v>309</v>
      </c>
      <c r="G60" s="49"/>
      <c r="H60" s="49"/>
      <c r="I60" s="58"/>
    </row>
    <row r="61" spans="1:9" ht="30" customHeight="1" x14ac:dyDescent="0.2">
      <c r="A61" s="55" t="s">
        <v>2019</v>
      </c>
      <c r="B61" s="56" t="s">
        <v>310</v>
      </c>
      <c r="C61" s="49" t="s">
        <v>159</v>
      </c>
      <c r="D61" s="57" t="s">
        <v>233</v>
      </c>
      <c r="E61" s="49" t="s">
        <v>2024</v>
      </c>
      <c r="F61" s="49" t="s">
        <v>318</v>
      </c>
      <c r="G61" s="49"/>
      <c r="H61" s="49"/>
      <c r="I61" s="58"/>
    </row>
    <row r="62" spans="1:9" ht="30" customHeight="1" x14ac:dyDescent="0.2">
      <c r="A62" s="55" t="s">
        <v>2019</v>
      </c>
      <c r="B62" s="56" t="s">
        <v>319</v>
      </c>
      <c r="C62" s="49" t="s">
        <v>159</v>
      </c>
      <c r="D62" s="57" t="s">
        <v>233</v>
      </c>
      <c r="E62" s="49" t="s">
        <v>2025</v>
      </c>
      <c r="F62" s="49" t="s">
        <v>328</v>
      </c>
      <c r="G62" s="49"/>
      <c r="H62" s="49"/>
      <c r="I62" s="58"/>
    </row>
    <row r="63" spans="1:9" ht="30" customHeight="1" x14ac:dyDescent="0.2">
      <c r="A63" s="55" t="s">
        <v>2019</v>
      </c>
      <c r="B63" s="56" t="s">
        <v>61</v>
      </c>
      <c r="C63" s="49" t="s">
        <v>159</v>
      </c>
      <c r="D63" s="57" t="s">
        <v>233</v>
      </c>
      <c r="E63" s="49" t="s">
        <v>2022</v>
      </c>
      <c r="F63" s="49" t="s">
        <v>334</v>
      </c>
      <c r="G63" s="49"/>
      <c r="H63" s="49"/>
      <c r="I63" s="58"/>
    </row>
    <row r="64" spans="1:9" ht="30" customHeight="1" x14ac:dyDescent="0.2">
      <c r="A64" s="55" t="s">
        <v>2019</v>
      </c>
      <c r="B64" s="56" t="s">
        <v>63</v>
      </c>
      <c r="C64" s="49" t="s">
        <v>160</v>
      </c>
      <c r="D64" s="57" t="s">
        <v>233</v>
      </c>
      <c r="E64" s="49" t="s">
        <v>2022</v>
      </c>
      <c r="F64" s="49" t="s">
        <v>343</v>
      </c>
      <c r="G64" s="49"/>
      <c r="H64" s="49"/>
      <c r="I64" s="58"/>
    </row>
    <row r="65" spans="1:9" ht="30" customHeight="1" x14ac:dyDescent="0.2">
      <c r="A65" s="55" t="s">
        <v>2019</v>
      </c>
      <c r="B65" s="56" t="s">
        <v>65</v>
      </c>
      <c r="C65" s="49" t="s">
        <v>160</v>
      </c>
      <c r="D65" s="57" t="s">
        <v>233</v>
      </c>
      <c r="E65" s="49" t="s">
        <v>2022</v>
      </c>
      <c r="F65" s="49" t="s">
        <v>360</v>
      </c>
      <c r="G65" s="49"/>
      <c r="H65" s="49"/>
      <c r="I65" s="58"/>
    </row>
    <row r="66" spans="1:9" ht="30" customHeight="1" x14ac:dyDescent="0.2">
      <c r="A66" s="55" t="s">
        <v>2019</v>
      </c>
      <c r="B66" s="56" t="s">
        <v>67</v>
      </c>
      <c r="C66" s="49" t="s">
        <v>160</v>
      </c>
      <c r="D66" s="57" t="s">
        <v>242</v>
      </c>
      <c r="E66" s="49" t="s">
        <v>2025</v>
      </c>
      <c r="F66" s="49" t="s">
        <v>366</v>
      </c>
      <c r="G66" s="49"/>
      <c r="H66" s="49"/>
      <c r="I66" s="58"/>
    </row>
    <row r="67" spans="1:9" ht="30" customHeight="1" x14ac:dyDescent="0.2">
      <c r="A67" s="55" t="s">
        <v>2019</v>
      </c>
      <c r="B67" s="56" t="s">
        <v>69</v>
      </c>
      <c r="C67" s="49" t="s">
        <v>161</v>
      </c>
      <c r="D67" s="57" t="s">
        <v>233</v>
      </c>
      <c r="E67" s="49" t="s">
        <v>2020</v>
      </c>
      <c r="F67" s="49" t="s">
        <v>372</v>
      </c>
      <c r="G67" s="49"/>
      <c r="H67" s="49"/>
      <c r="I67" s="58"/>
    </row>
    <row r="68" spans="1:9" ht="30" customHeight="1" x14ac:dyDescent="0.2">
      <c r="A68" s="55" t="s">
        <v>2019</v>
      </c>
      <c r="B68" s="56" t="s">
        <v>373</v>
      </c>
      <c r="C68" s="49" t="s">
        <v>161</v>
      </c>
      <c r="D68" s="57" t="s">
        <v>242</v>
      </c>
      <c r="E68" s="49" t="s">
        <v>2023</v>
      </c>
      <c r="F68" s="49" t="s">
        <v>381</v>
      </c>
      <c r="G68" s="49"/>
      <c r="H68" s="49"/>
      <c r="I68" s="58"/>
    </row>
    <row r="69" spans="1:9" ht="30" customHeight="1" x14ac:dyDescent="0.2">
      <c r="A69" s="55" t="s">
        <v>2019</v>
      </c>
      <c r="B69" s="56" t="s">
        <v>71</v>
      </c>
      <c r="C69" s="49" t="s">
        <v>161</v>
      </c>
      <c r="D69" s="57" t="s">
        <v>242</v>
      </c>
      <c r="E69" s="49" t="s">
        <v>2020</v>
      </c>
      <c r="F69" s="49" t="s">
        <v>400</v>
      </c>
      <c r="G69" s="49"/>
      <c r="H69" s="49"/>
      <c r="I69" s="58"/>
    </row>
    <row r="70" spans="1:9" ht="30" customHeight="1" x14ac:dyDescent="0.2">
      <c r="A70" s="55" t="s">
        <v>2019</v>
      </c>
      <c r="B70" s="56" t="s">
        <v>73</v>
      </c>
      <c r="C70" s="49" t="s">
        <v>161</v>
      </c>
      <c r="D70" s="57" t="s">
        <v>242</v>
      </c>
      <c r="E70" s="49" t="s">
        <v>2022</v>
      </c>
      <c r="F70" s="49" t="s">
        <v>407</v>
      </c>
      <c r="G70" s="49"/>
      <c r="H70" s="49"/>
      <c r="I70" s="58"/>
    </row>
    <row r="71" spans="1:9" ht="30" customHeight="1" x14ac:dyDescent="0.2">
      <c r="A71" s="55" t="s">
        <v>2019</v>
      </c>
      <c r="B71" s="56" t="s">
        <v>75</v>
      </c>
      <c r="C71" s="49" t="s">
        <v>162</v>
      </c>
      <c r="D71" s="57" t="s">
        <v>233</v>
      </c>
      <c r="E71" s="49" t="s">
        <v>2022</v>
      </c>
      <c r="F71" s="49" t="s">
        <v>418</v>
      </c>
      <c r="G71" s="49"/>
      <c r="H71" s="49"/>
      <c r="I71" s="58"/>
    </row>
    <row r="72" spans="1:9" ht="30" customHeight="1" x14ac:dyDescent="0.2">
      <c r="A72" s="55" t="s">
        <v>2019</v>
      </c>
      <c r="B72" s="56" t="s">
        <v>419</v>
      </c>
      <c r="C72" s="49" t="s">
        <v>162</v>
      </c>
      <c r="D72" s="57" t="s">
        <v>242</v>
      </c>
      <c r="E72" s="49" t="s">
        <v>2020</v>
      </c>
      <c r="F72" s="49" t="s">
        <v>427</v>
      </c>
      <c r="G72" s="49"/>
      <c r="H72" s="49"/>
      <c r="I72" s="58"/>
    </row>
    <row r="73" spans="1:9" ht="30" customHeight="1" x14ac:dyDescent="0.2">
      <c r="A73" s="55" t="s">
        <v>2019</v>
      </c>
      <c r="B73" s="56" t="s">
        <v>435</v>
      </c>
      <c r="C73" s="49" t="s">
        <v>162</v>
      </c>
      <c r="D73" s="57" t="s">
        <v>233</v>
      </c>
      <c r="E73" s="49" t="s">
        <v>2020</v>
      </c>
      <c r="F73" s="49" t="s">
        <v>440</v>
      </c>
      <c r="G73" s="49"/>
      <c r="H73" s="49"/>
      <c r="I73" s="58"/>
    </row>
    <row r="74" spans="1:9" ht="30" customHeight="1" x14ac:dyDescent="0.2">
      <c r="A74" s="55" t="s">
        <v>2019</v>
      </c>
      <c r="B74" s="56" t="s">
        <v>79</v>
      </c>
      <c r="C74" s="49" t="s">
        <v>165</v>
      </c>
      <c r="D74" s="57" t="s">
        <v>242</v>
      </c>
      <c r="E74" s="49" t="s">
        <v>2020</v>
      </c>
      <c r="F74" s="49" t="s">
        <v>522</v>
      </c>
      <c r="G74" s="49"/>
      <c r="H74" s="49"/>
      <c r="I74" s="58"/>
    </row>
    <row r="75" spans="1:9" ht="30" customHeight="1" x14ac:dyDescent="0.2">
      <c r="A75" s="55" t="s">
        <v>2019</v>
      </c>
      <c r="B75" s="56" t="s">
        <v>81</v>
      </c>
      <c r="C75" s="49" t="s">
        <v>165</v>
      </c>
      <c r="D75" s="57" t="s">
        <v>233</v>
      </c>
      <c r="E75" s="49" t="s">
        <v>2022</v>
      </c>
      <c r="F75" s="49" t="s">
        <v>528</v>
      </c>
      <c r="G75" s="49"/>
      <c r="H75" s="49"/>
      <c r="I75" s="58"/>
    </row>
    <row r="76" spans="1:9" ht="30" customHeight="1" x14ac:dyDescent="0.2">
      <c r="A76" s="55" t="s">
        <v>2019</v>
      </c>
      <c r="B76" s="56" t="s">
        <v>83</v>
      </c>
      <c r="C76" s="49" t="s">
        <v>166</v>
      </c>
      <c r="D76" s="57" t="s">
        <v>233</v>
      </c>
      <c r="E76" s="49" t="s">
        <v>2022</v>
      </c>
      <c r="F76" s="49" t="s">
        <v>536</v>
      </c>
      <c r="G76" s="49"/>
      <c r="H76" s="49"/>
      <c r="I76" s="58"/>
    </row>
    <row r="77" spans="1:9" ht="30" customHeight="1" x14ac:dyDescent="0.2">
      <c r="A77" s="55" t="s">
        <v>2019</v>
      </c>
      <c r="B77" s="56" t="s">
        <v>537</v>
      </c>
      <c r="C77" s="49" t="s">
        <v>166</v>
      </c>
      <c r="D77" s="57" t="s">
        <v>242</v>
      </c>
      <c r="E77" s="49" t="s">
        <v>2020</v>
      </c>
      <c r="F77" s="49" t="s">
        <v>545</v>
      </c>
      <c r="G77" s="49"/>
      <c r="H77" s="49"/>
      <c r="I77" s="58"/>
    </row>
    <row r="78" spans="1:9" ht="30" customHeight="1" x14ac:dyDescent="0.2">
      <c r="A78" s="55" t="s">
        <v>2019</v>
      </c>
      <c r="B78" s="56" t="s">
        <v>546</v>
      </c>
      <c r="C78" s="49" t="s">
        <v>166</v>
      </c>
      <c r="D78" s="57" t="s">
        <v>242</v>
      </c>
      <c r="E78" s="49" t="s">
        <v>2026</v>
      </c>
      <c r="F78" s="49" t="s">
        <v>553</v>
      </c>
      <c r="G78" s="49"/>
      <c r="H78" s="49"/>
      <c r="I78" s="58"/>
    </row>
    <row r="79" spans="1:9" ht="30" customHeight="1" x14ac:dyDescent="0.2">
      <c r="A79" s="55" t="s">
        <v>2019</v>
      </c>
      <c r="B79" s="56" t="s">
        <v>554</v>
      </c>
      <c r="C79" s="49" t="s">
        <v>166</v>
      </c>
      <c r="D79" s="57" t="s">
        <v>233</v>
      </c>
      <c r="E79" s="49" t="s">
        <v>2027</v>
      </c>
      <c r="F79" s="49" t="s">
        <v>563</v>
      </c>
      <c r="G79" s="49"/>
      <c r="H79" s="49"/>
      <c r="I79" s="58"/>
    </row>
    <row r="80" spans="1:9" ht="30" customHeight="1" x14ac:dyDescent="0.2">
      <c r="A80" s="55" t="s">
        <v>2019</v>
      </c>
      <c r="B80" s="56" t="s">
        <v>85</v>
      </c>
      <c r="C80" s="49" t="s">
        <v>166</v>
      </c>
      <c r="D80" s="57" t="s">
        <v>242</v>
      </c>
      <c r="E80" s="49" t="s">
        <v>2022</v>
      </c>
      <c r="F80" s="49" t="s">
        <v>571</v>
      </c>
      <c r="G80" s="49"/>
      <c r="H80" s="49"/>
      <c r="I80" s="58"/>
    </row>
    <row r="81" spans="1:9" ht="30" customHeight="1" x14ac:dyDescent="0.2">
      <c r="A81" s="55" t="s">
        <v>2019</v>
      </c>
      <c r="B81" s="56" t="s">
        <v>572</v>
      </c>
      <c r="C81" s="49" t="s">
        <v>166</v>
      </c>
      <c r="D81" s="57" t="s">
        <v>242</v>
      </c>
      <c r="E81" s="49" t="s">
        <v>2020</v>
      </c>
      <c r="F81" s="49" t="s">
        <v>580</v>
      </c>
      <c r="G81" s="49"/>
      <c r="H81" s="49"/>
      <c r="I81" s="58"/>
    </row>
    <row r="82" spans="1:9" ht="30" customHeight="1" x14ac:dyDescent="0.2">
      <c r="A82" s="55" t="s">
        <v>2019</v>
      </c>
      <c r="B82" s="56" t="s">
        <v>595</v>
      </c>
      <c r="C82" s="49" t="s">
        <v>168</v>
      </c>
      <c r="D82" s="57" t="s">
        <v>242</v>
      </c>
      <c r="E82" s="49" t="s">
        <v>2020</v>
      </c>
      <c r="F82" s="49" t="s">
        <v>602</v>
      </c>
      <c r="G82" s="49"/>
      <c r="H82" s="49"/>
      <c r="I82" s="58"/>
    </row>
    <row r="83" spans="1:9" ht="30" customHeight="1" x14ac:dyDescent="0.2">
      <c r="A83" s="55" t="s">
        <v>2019</v>
      </c>
      <c r="B83" s="56" t="s">
        <v>87</v>
      </c>
      <c r="C83" s="49" t="s">
        <v>168</v>
      </c>
      <c r="D83" s="57" t="s">
        <v>233</v>
      </c>
      <c r="E83" s="49" t="s">
        <v>2022</v>
      </c>
      <c r="F83" s="49" t="s">
        <v>609</v>
      </c>
      <c r="G83" s="49"/>
      <c r="H83" s="49"/>
      <c r="I83" s="58"/>
    </row>
    <row r="84" spans="1:9" ht="30" customHeight="1" x14ac:dyDescent="0.2">
      <c r="A84" s="55" t="s">
        <v>2019</v>
      </c>
      <c r="B84" s="56" t="s">
        <v>89</v>
      </c>
      <c r="C84" s="49" t="s">
        <v>168</v>
      </c>
      <c r="D84" s="57" t="s">
        <v>242</v>
      </c>
      <c r="E84" s="49" t="s">
        <v>2022</v>
      </c>
      <c r="F84" s="49" t="s">
        <v>623</v>
      </c>
      <c r="G84" s="49"/>
      <c r="H84" s="49"/>
      <c r="I84" s="58"/>
    </row>
    <row r="85" spans="1:9" ht="30" customHeight="1" x14ac:dyDescent="0.2">
      <c r="A85" s="55" t="s">
        <v>2019</v>
      </c>
      <c r="B85" s="56" t="s">
        <v>703</v>
      </c>
      <c r="C85" s="49" t="s">
        <v>170</v>
      </c>
      <c r="D85" s="57" t="s">
        <v>233</v>
      </c>
      <c r="E85" s="49" t="s">
        <v>2028</v>
      </c>
      <c r="F85" s="49" t="s">
        <v>710</v>
      </c>
      <c r="G85" s="49"/>
      <c r="H85" s="49"/>
      <c r="I85" s="58"/>
    </row>
    <row r="86" spans="1:9" ht="30" customHeight="1" x14ac:dyDescent="0.2">
      <c r="A86" s="55" t="s">
        <v>2019</v>
      </c>
      <c r="B86" s="56" t="s">
        <v>711</v>
      </c>
      <c r="C86" s="49" t="s">
        <v>170</v>
      </c>
      <c r="D86" s="57" t="s">
        <v>233</v>
      </c>
      <c r="E86" s="49" t="s">
        <v>2020</v>
      </c>
      <c r="F86" s="49" t="s">
        <v>719</v>
      </c>
      <c r="G86" s="49"/>
      <c r="H86" s="49"/>
      <c r="I86" s="58"/>
    </row>
    <row r="87" spans="1:9" ht="30" customHeight="1" x14ac:dyDescent="0.2">
      <c r="A87" s="55" t="s">
        <v>2019</v>
      </c>
      <c r="B87" s="56" t="s">
        <v>740</v>
      </c>
      <c r="C87" s="49" t="s">
        <v>171</v>
      </c>
      <c r="D87" s="57" t="s">
        <v>242</v>
      </c>
      <c r="E87" s="49" t="s">
        <v>2020</v>
      </c>
      <c r="F87" s="49" t="s">
        <v>747</v>
      </c>
      <c r="G87" s="49"/>
      <c r="H87" s="49"/>
      <c r="I87" s="58"/>
    </row>
    <row r="88" spans="1:9" ht="30" customHeight="1" x14ac:dyDescent="0.2">
      <c r="A88" s="55" t="s">
        <v>2019</v>
      </c>
      <c r="B88" s="56" t="s">
        <v>748</v>
      </c>
      <c r="C88" s="49" t="s">
        <v>171</v>
      </c>
      <c r="D88" s="57" t="s">
        <v>242</v>
      </c>
      <c r="E88" s="49" t="s">
        <v>2020</v>
      </c>
      <c r="F88" s="49" t="s">
        <v>756</v>
      </c>
      <c r="G88" s="49"/>
      <c r="H88" s="49"/>
      <c r="I88" s="58"/>
    </row>
    <row r="89" spans="1:9" ht="30" customHeight="1" x14ac:dyDescent="0.2">
      <c r="A89" s="55" t="s">
        <v>2019</v>
      </c>
      <c r="B89" s="56" t="s">
        <v>839</v>
      </c>
      <c r="C89" s="49" t="s">
        <v>174</v>
      </c>
      <c r="D89" s="57" t="s">
        <v>242</v>
      </c>
      <c r="E89" s="49" t="s">
        <v>2020</v>
      </c>
      <c r="F89" s="49" t="s">
        <v>846</v>
      </c>
      <c r="G89" s="49"/>
      <c r="H89" s="49"/>
      <c r="I89" s="58"/>
    </row>
    <row r="90" spans="1:9" ht="30" customHeight="1" x14ac:dyDescent="0.2">
      <c r="A90" s="55" t="s">
        <v>2019</v>
      </c>
      <c r="B90" s="56" t="s">
        <v>847</v>
      </c>
      <c r="C90" s="49" t="s">
        <v>174</v>
      </c>
      <c r="D90" s="57" t="s">
        <v>242</v>
      </c>
      <c r="E90" s="49" t="s">
        <v>2020</v>
      </c>
      <c r="F90" s="49" t="s">
        <v>854</v>
      </c>
      <c r="G90" s="49"/>
      <c r="H90" s="49"/>
      <c r="I90" s="58"/>
    </row>
    <row r="91" spans="1:9" ht="30" customHeight="1" x14ac:dyDescent="0.2">
      <c r="A91" s="55" t="s">
        <v>2019</v>
      </c>
      <c r="B91" s="56" t="s">
        <v>855</v>
      </c>
      <c r="C91" s="49" t="s">
        <v>174</v>
      </c>
      <c r="D91" s="57" t="s">
        <v>242</v>
      </c>
      <c r="E91" s="49" t="s">
        <v>2020</v>
      </c>
      <c r="F91" s="49" t="s">
        <v>862</v>
      </c>
      <c r="G91" s="49"/>
      <c r="H91" s="49"/>
      <c r="I91" s="58"/>
    </row>
    <row r="92" spans="1:9" ht="30" customHeight="1" x14ac:dyDescent="0.2">
      <c r="A92" s="55" t="s">
        <v>2019</v>
      </c>
      <c r="B92" s="56" t="s">
        <v>863</v>
      </c>
      <c r="C92" s="49" t="s">
        <v>174</v>
      </c>
      <c r="D92" s="57" t="s">
        <v>242</v>
      </c>
      <c r="E92" s="49" t="s">
        <v>2020</v>
      </c>
      <c r="F92" s="49" t="s">
        <v>870</v>
      </c>
      <c r="G92" s="49"/>
      <c r="H92" s="49"/>
      <c r="I92" s="58"/>
    </row>
    <row r="93" spans="1:9" ht="30" customHeight="1" x14ac:dyDescent="0.2">
      <c r="A93" s="55" t="s">
        <v>2019</v>
      </c>
      <c r="B93" s="56" t="s">
        <v>886</v>
      </c>
      <c r="C93" s="49" t="s">
        <v>176</v>
      </c>
      <c r="D93" s="57" t="s">
        <v>242</v>
      </c>
      <c r="E93" s="49" t="s">
        <v>2020</v>
      </c>
      <c r="F93" s="49" t="s">
        <v>893</v>
      </c>
      <c r="G93" s="49"/>
      <c r="H93" s="49"/>
      <c r="I93" s="58"/>
    </row>
    <row r="94" spans="1:9" ht="30" customHeight="1" x14ac:dyDescent="0.2">
      <c r="A94" s="55" t="s">
        <v>2019</v>
      </c>
      <c r="B94" s="56" t="s">
        <v>970</v>
      </c>
      <c r="C94" s="49" t="s">
        <v>178</v>
      </c>
      <c r="D94" s="57" t="s">
        <v>242</v>
      </c>
      <c r="E94" s="49" t="s">
        <v>2020</v>
      </c>
      <c r="F94" s="49" t="s">
        <v>977</v>
      </c>
      <c r="G94" s="49"/>
      <c r="H94" s="49"/>
      <c r="I94" s="58"/>
    </row>
    <row r="95" spans="1:9" ht="30" customHeight="1" x14ac:dyDescent="0.2">
      <c r="A95" s="55" t="s">
        <v>2019</v>
      </c>
      <c r="B95" s="56" t="s">
        <v>91</v>
      </c>
      <c r="C95" s="49" t="s">
        <v>185</v>
      </c>
      <c r="D95" s="57" t="s">
        <v>242</v>
      </c>
      <c r="E95" s="49" t="s">
        <v>2022</v>
      </c>
      <c r="F95" s="49" t="s">
        <v>1191</v>
      </c>
      <c r="G95" s="49"/>
      <c r="H95" s="49"/>
      <c r="I95" s="58"/>
    </row>
    <row r="96" spans="1:9" ht="30" customHeight="1" x14ac:dyDescent="0.2">
      <c r="A96" s="55" t="s">
        <v>2019</v>
      </c>
      <c r="B96" s="56" t="s">
        <v>1371</v>
      </c>
      <c r="C96" s="49" t="s">
        <v>192</v>
      </c>
      <c r="D96" s="57" t="s">
        <v>233</v>
      </c>
      <c r="E96" s="49" t="s">
        <v>2020</v>
      </c>
      <c r="F96" s="49" t="s">
        <v>1378</v>
      </c>
      <c r="G96" s="49"/>
      <c r="H96" s="49"/>
      <c r="I96" s="58"/>
    </row>
    <row r="97" spans="1:9" ht="30" customHeight="1" x14ac:dyDescent="0.2">
      <c r="A97" s="55" t="s">
        <v>2019</v>
      </c>
      <c r="B97" s="56" t="s">
        <v>1428</v>
      </c>
      <c r="C97" s="49" t="s">
        <v>193</v>
      </c>
      <c r="D97" s="57" t="s">
        <v>242</v>
      </c>
      <c r="E97" s="49" t="s">
        <v>2020</v>
      </c>
      <c r="F97" s="49" t="s">
        <v>1435</v>
      </c>
      <c r="G97" s="49"/>
      <c r="H97" s="49"/>
      <c r="I97" s="58"/>
    </row>
    <row r="98" spans="1:9" ht="30" customHeight="1" x14ac:dyDescent="0.2">
      <c r="A98" s="55" t="s">
        <v>2019</v>
      </c>
      <c r="B98" s="56" t="s">
        <v>1539</v>
      </c>
      <c r="C98" s="49" t="s">
        <v>197</v>
      </c>
      <c r="D98" s="57" t="s">
        <v>233</v>
      </c>
      <c r="E98" s="49" t="s">
        <v>2020</v>
      </c>
      <c r="F98" s="49" t="s">
        <v>1546</v>
      </c>
      <c r="G98" s="49"/>
      <c r="H98" s="49"/>
      <c r="I98" s="58"/>
    </row>
    <row r="99" spans="1:9" ht="30" customHeight="1" x14ac:dyDescent="0.2">
      <c r="A99" s="55" t="s">
        <v>2029</v>
      </c>
      <c r="B99" s="56" t="s">
        <v>1895</v>
      </c>
      <c r="C99" s="49" t="s">
        <v>1898</v>
      </c>
      <c r="D99" s="57" t="s">
        <v>1898</v>
      </c>
      <c r="E99" s="49" t="s">
        <v>2030</v>
      </c>
      <c r="F99" s="49" t="s">
        <v>2031</v>
      </c>
      <c r="G99" s="49"/>
      <c r="H99" s="49"/>
      <c r="I99" s="58"/>
    </row>
    <row r="100" spans="1:9" ht="30" customHeight="1" x14ac:dyDescent="0.2">
      <c r="A100" s="55" t="s">
        <v>2029</v>
      </c>
      <c r="B100" s="56" t="s">
        <v>1977</v>
      </c>
      <c r="C100" s="49" t="s">
        <v>1898</v>
      </c>
      <c r="D100" s="57" t="s">
        <v>242</v>
      </c>
      <c r="E100" s="49" t="s">
        <v>2032</v>
      </c>
      <c r="F100" s="49" t="s">
        <v>2033</v>
      </c>
      <c r="G100" s="49"/>
      <c r="H100" s="49"/>
      <c r="I100" s="58"/>
    </row>
    <row r="101" spans="1:9" ht="30" customHeight="1" x14ac:dyDescent="0.2">
      <c r="A101" s="55" t="s">
        <v>2029</v>
      </c>
      <c r="B101" s="56" t="s">
        <v>1982</v>
      </c>
      <c r="C101" s="49" t="s">
        <v>1986</v>
      </c>
      <c r="D101" s="57" t="s">
        <v>233</v>
      </c>
      <c r="E101" s="49" t="s">
        <v>2034</v>
      </c>
      <c r="F101" s="49" t="s">
        <v>2035</v>
      </c>
      <c r="G101" s="49"/>
      <c r="H101" s="49"/>
      <c r="I101" s="58"/>
    </row>
    <row r="102" spans="1:9" ht="30" customHeight="1" x14ac:dyDescent="0.2">
      <c r="A102" s="55" t="s">
        <v>2029</v>
      </c>
      <c r="B102" s="56" t="s">
        <v>1988</v>
      </c>
      <c r="C102" s="49" t="s">
        <v>158</v>
      </c>
      <c r="D102" s="57" t="s">
        <v>233</v>
      </c>
      <c r="E102" s="49" t="s">
        <v>2036</v>
      </c>
      <c r="F102" s="49" t="s">
        <v>2037</v>
      </c>
      <c r="G102" s="49"/>
      <c r="H102" s="49"/>
      <c r="I102" s="58"/>
    </row>
    <row r="103" spans="1:9" ht="30" customHeight="1" x14ac:dyDescent="0.2">
      <c r="A103" s="55" t="s">
        <v>2029</v>
      </c>
      <c r="B103" s="56" t="s">
        <v>1991</v>
      </c>
      <c r="C103" s="49" t="s">
        <v>166</v>
      </c>
      <c r="D103" s="57" t="s">
        <v>233</v>
      </c>
      <c r="E103" s="49" t="s">
        <v>2038</v>
      </c>
      <c r="F103" s="49" t="s">
        <v>2039</v>
      </c>
      <c r="G103" s="49"/>
      <c r="H103" s="49"/>
      <c r="I103" s="58"/>
    </row>
    <row r="104" spans="1:9" ht="30" customHeight="1" x14ac:dyDescent="0.2">
      <c r="A104" s="55" t="s">
        <v>2029</v>
      </c>
      <c r="B104" s="56" t="s">
        <v>1995</v>
      </c>
      <c r="C104" s="49" t="s">
        <v>1998</v>
      </c>
      <c r="D104" s="57" t="s">
        <v>242</v>
      </c>
      <c r="E104" s="49" t="s">
        <v>2040</v>
      </c>
      <c r="F104" s="49" t="s">
        <v>2041</v>
      </c>
      <c r="G104" s="49"/>
      <c r="H104" s="49"/>
      <c r="I104" s="58"/>
    </row>
    <row r="105" spans="1:9" ht="30" customHeight="1" x14ac:dyDescent="0.2">
      <c r="A105" s="55" t="s">
        <v>2029</v>
      </c>
      <c r="B105" s="56" t="s">
        <v>2042</v>
      </c>
      <c r="C105" s="49" t="s">
        <v>199</v>
      </c>
      <c r="D105" s="57" t="s">
        <v>242</v>
      </c>
      <c r="E105" s="49" t="s">
        <v>2043</v>
      </c>
      <c r="F105" s="49" t="s">
        <v>2044</v>
      </c>
      <c r="G105" s="49"/>
      <c r="H105" s="49"/>
      <c r="I105" s="58"/>
    </row>
    <row r="107" spans="1:9" ht="40" x14ac:dyDescent="0.2">
      <c r="A107" s="47" t="s">
        <v>2045</v>
      </c>
      <c r="B107" s="47"/>
      <c r="C107" s="47"/>
      <c r="D107" s="47"/>
      <c r="E107" s="47"/>
      <c r="F107" s="47"/>
      <c r="G107" s="47"/>
      <c r="H107" s="47"/>
      <c r="I107" s="47"/>
    </row>
    <row r="108" spans="1:9" ht="26" customHeight="1" x14ac:dyDescent="0.2">
      <c r="A108" s="47" t="s">
        <v>1878</v>
      </c>
      <c r="B108" s="47" t="s">
        <v>30</v>
      </c>
      <c r="C108" s="47" t="s">
        <v>20</v>
      </c>
      <c r="D108" s="47" t="s">
        <v>1880</v>
      </c>
      <c r="E108" s="47"/>
      <c r="F108" s="47"/>
      <c r="G108" s="47"/>
      <c r="H108" s="47"/>
      <c r="I108" s="47"/>
    </row>
    <row r="109" spans="1:9" ht="22" customHeight="1" x14ac:dyDescent="0.2">
      <c r="A109" s="55" t="s">
        <v>233</v>
      </c>
      <c r="B109" s="56" t="s">
        <v>158</v>
      </c>
      <c r="C109" s="49">
        <v>5</v>
      </c>
      <c r="D109" s="57" t="s">
        <v>2046</v>
      </c>
      <c r="E109" s="49"/>
      <c r="F109" s="49"/>
      <c r="G109" s="49"/>
      <c r="H109" s="49"/>
      <c r="I109" s="58"/>
    </row>
    <row r="110" spans="1:9" ht="22" customHeight="1" x14ac:dyDescent="0.2">
      <c r="A110" s="55" t="s">
        <v>233</v>
      </c>
      <c r="B110" s="56" t="s">
        <v>159</v>
      </c>
      <c r="C110" s="49">
        <v>4</v>
      </c>
      <c r="D110" s="57" t="s">
        <v>2047</v>
      </c>
      <c r="E110" s="49"/>
      <c r="F110" s="49"/>
      <c r="G110" s="49"/>
      <c r="H110" s="49"/>
      <c r="I110" s="58"/>
    </row>
    <row r="111" spans="1:9" ht="22" customHeight="1" x14ac:dyDescent="0.2">
      <c r="A111" s="55" t="s">
        <v>233</v>
      </c>
      <c r="B111" s="56" t="s">
        <v>160</v>
      </c>
      <c r="C111" s="49">
        <v>3</v>
      </c>
      <c r="D111" s="57" t="s">
        <v>2048</v>
      </c>
      <c r="E111" s="49"/>
      <c r="F111" s="49"/>
      <c r="G111" s="49"/>
      <c r="H111" s="49"/>
      <c r="I111" s="58"/>
    </row>
    <row r="112" spans="1:9" ht="22" customHeight="1" x14ac:dyDescent="0.2">
      <c r="A112" s="55" t="s">
        <v>233</v>
      </c>
      <c r="B112" s="56" t="s">
        <v>161</v>
      </c>
      <c r="C112" s="49">
        <v>1</v>
      </c>
      <c r="D112" s="57" t="s">
        <v>69</v>
      </c>
      <c r="E112" s="49"/>
      <c r="F112" s="49"/>
      <c r="G112" s="49"/>
      <c r="H112" s="49"/>
      <c r="I112" s="58"/>
    </row>
    <row r="113" spans="1:9" ht="22" customHeight="1" x14ac:dyDescent="0.2">
      <c r="A113" s="55" t="s">
        <v>233</v>
      </c>
      <c r="B113" s="56" t="s">
        <v>162</v>
      </c>
      <c r="C113" s="49">
        <v>2</v>
      </c>
      <c r="D113" s="57" t="s">
        <v>2049</v>
      </c>
      <c r="E113" s="49"/>
      <c r="F113" s="49"/>
      <c r="G113" s="49"/>
      <c r="H113" s="49"/>
      <c r="I113" s="58"/>
    </row>
    <row r="114" spans="1:9" ht="22" customHeight="1" x14ac:dyDescent="0.2">
      <c r="A114" s="55" t="s">
        <v>233</v>
      </c>
      <c r="B114" s="56" t="s">
        <v>164</v>
      </c>
      <c r="C114" s="49">
        <v>1</v>
      </c>
      <c r="D114" s="57" t="s">
        <v>484</v>
      </c>
      <c r="E114" s="49"/>
      <c r="F114" s="49"/>
      <c r="G114" s="49"/>
      <c r="H114" s="49"/>
      <c r="I114" s="58"/>
    </row>
    <row r="115" spans="1:9" ht="22" customHeight="1" x14ac:dyDescent="0.2">
      <c r="A115" s="55" t="s">
        <v>233</v>
      </c>
      <c r="B115" s="56" t="s">
        <v>165</v>
      </c>
      <c r="C115" s="49">
        <v>1</v>
      </c>
      <c r="D115" s="57" t="s">
        <v>81</v>
      </c>
      <c r="E115" s="49"/>
      <c r="F115" s="49"/>
      <c r="G115" s="49"/>
      <c r="H115" s="49"/>
      <c r="I115" s="58"/>
    </row>
    <row r="116" spans="1:9" ht="22" customHeight="1" x14ac:dyDescent="0.2">
      <c r="A116" s="55" t="s">
        <v>233</v>
      </c>
      <c r="B116" s="56" t="s">
        <v>166</v>
      </c>
      <c r="C116" s="49">
        <v>2</v>
      </c>
      <c r="D116" s="57" t="s">
        <v>2050</v>
      </c>
      <c r="E116" s="49"/>
      <c r="F116" s="49"/>
      <c r="G116" s="49"/>
      <c r="H116" s="49"/>
      <c r="I116" s="58"/>
    </row>
    <row r="117" spans="1:9" ht="22" customHeight="1" x14ac:dyDescent="0.2">
      <c r="A117" s="55" t="s">
        <v>233</v>
      </c>
      <c r="B117" s="56" t="s">
        <v>168</v>
      </c>
      <c r="C117" s="49">
        <v>3</v>
      </c>
      <c r="D117" s="57" t="s">
        <v>2051</v>
      </c>
      <c r="E117" s="49"/>
      <c r="F117" s="49"/>
      <c r="G117" s="49"/>
      <c r="H117" s="49"/>
      <c r="I117" s="58"/>
    </row>
    <row r="118" spans="1:9" ht="22" customHeight="1" x14ac:dyDescent="0.2">
      <c r="A118" s="55" t="s">
        <v>233</v>
      </c>
      <c r="B118" s="56" t="s">
        <v>169</v>
      </c>
      <c r="C118" s="49">
        <v>1</v>
      </c>
      <c r="D118" s="57" t="s">
        <v>669</v>
      </c>
      <c r="E118" s="49"/>
      <c r="F118" s="49"/>
      <c r="G118" s="49"/>
      <c r="H118" s="49"/>
      <c r="I118" s="58"/>
    </row>
    <row r="119" spans="1:9" ht="22" customHeight="1" x14ac:dyDescent="0.2">
      <c r="A119" s="55" t="s">
        <v>233</v>
      </c>
      <c r="B119" s="56" t="s">
        <v>170</v>
      </c>
      <c r="C119" s="49">
        <v>3</v>
      </c>
      <c r="D119" s="57" t="s">
        <v>2052</v>
      </c>
      <c r="E119" s="49"/>
      <c r="F119" s="49"/>
      <c r="G119" s="49"/>
      <c r="H119" s="49"/>
      <c r="I119" s="58"/>
    </row>
    <row r="120" spans="1:9" ht="22" customHeight="1" x14ac:dyDescent="0.2">
      <c r="A120" s="55" t="s">
        <v>233</v>
      </c>
      <c r="B120" s="56" t="s">
        <v>173</v>
      </c>
      <c r="C120" s="49">
        <v>1</v>
      </c>
      <c r="D120" s="57" t="s">
        <v>814</v>
      </c>
      <c r="E120" s="49"/>
      <c r="F120" s="49"/>
      <c r="G120" s="49"/>
      <c r="H120" s="49"/>
      <c r="I120" s="58"/>
    </row>
    <row r="121" spans="1:9" ht="22" customHeight="1" x14ac:dyDescent="0.2">
      <c r="A121" s="55" t="s">
        <v>233</v>
      </c>
      <c r="B121" s="56" t="s">
        <v>178</v>
      </c>
      <c r="C121" s="49">
        <v>2</v>
      </c>
      <c r="D121" s="57" t="s">
        <v>2053</v>
      </c>
      <c r="E121" s="49"/>
      <c r="F121" s="49"/>
      <c r="G121" s="49"/>
      <c r="H121" s="49"/>
      <c r="I121" s="58"/>
    </row>
    <row r="122" spans="1:9" ht="22" customHeight="1" x14ac:dyDescent="0.2">
      <c r="A122" s="55" t="s">
        <v>233</v>
      </c>
      <c r="B122" s="56" t="s">
        <v>183</v>
      </c>
      <c r="C122" s="49">
        <v>1</v>
      </c>
      <c r="D122" s="57" t="s">
        <v>1108</v>
      </c>
      <c r="E122" s="49"/>
      <c r="F122" s="49"/>
      <c r="G122" s="49"/>
      <c r="H122" s="49"/>
      <c r="I122" s="58"/>
    </row>
    <row r="123" spans="1:9" ht="22" customHeight="1" x14ac:dyDescent="0.2">
      <c r="A123" s="55" t="s">
        <v>233</v>
      </c>
      <c r="B123" s="56" t="s">
        <v>192</v>
      </c>
      <c r="C123" s="49">
        <v>2</v>
      </c>
      <c r="D123" s="57" t="s">
        <v>2054</v>
      </c>
      <c r="E123" s="49"/>
      <c r="F123" s="49"/>
      <c r="G123" s="49"/>
      <c r="H123" s="49"/>
      <c r="I123" s="58"/>
    </row>
    <row r="124" spans="1:9" ht="22" customHeight="1" x14ac:dyDescent="0.2">
      <c r="A124" s="55" t="s">
        <v>233</v>
      </c>
      <c r="B124" s="56" t="s">
        <v>197</v>
      </c>
      <c r="C124" s="49">
        <v>2</v>
      </c>
      <c r="D124" s="57" t="s">
        <v>2055</v>
      </c>
      <c r="E124" s="49"/>
      <c r="F124" s="49"/>
      <c r="G124" s="49"/>
      <c r="H124" s="49"/>
      <c r="I124" s="58"/>
    </row>
    <row r="125" spans="1:9" ht="22" customHeight="1" x14ac:dyDescent="0.2">
      <c r="A125" s="55" t="s">
        <v>242</v>
      </c>
      <c r="B125" s="56" t="s">
        <v>158</v>
      </c>
      <c r="C125" s="49">
        <v>1</v>
      </c>
      <c r="D125" s="57" t="s">
        <v>53</v>
      </c>
      <c r="E125" s="49"/>
      <c r="F125" s="49"/>
      <c r="G125" s="49"/>
      <c r="H125" s="49"/>
      <c r="I125" s="58"/>
    </row>
    <row r="126" spans="1:9" ht="22" customHeight="1" x14ac:dyDescent="0.2">
      <c r="A126" s="55" t="s">
        <v>242</v>
      </c>
      <c r="B126" s="56" t="s">
        <v>159</v>
      </c>
      <c r="C126" s="49">
        <v>2</v>
      </c>
      <c r="D126" s="57" t="s">
        <v>2056</v>
      </c>
      <c r="E126" s="49"/>
      <c r="F126" s="49"/>
      <c r="G126" s="49"/>
      <c r="H126" s="49"/>
      <c r="I126" s="58"/>
    </row>
    <row r="127" spans="1:9" ht="22" customHeight="1" x14ac:dyDescent="0.2">
      <c r="A127" s="55" t="s">
        <v>242</v>
      </c>
      <c r="B127" s="56" t="s">
        <v>160</v>
      </c>
      <c r="C127" s="49">
        <v>2</v>
      </c>
      <c r="D127" s="57" t="s">
        <v>2057</v>
      </c>
      <c r="E127" s="49"/>
      <c r="F127" s="49"/>
      <c r="G127" s="49"/>
      <c r="H127" s="49"/>
      <c r="I127" s="58"/>
    </row>
    <row r="128" spans="1:9" ht="22" customHeight="1" x14ac:dyDescent="0.2">
      <c r="A128" s="55" t="s">
        <v>242</v>
      </c>
      <c r="B128" s="56" t="s">
        <v>161</v>
      </c>
      <c r="C128" s="49">
        <v>5</v>
      </c>
      <c r="D128" s="57" t="s">
        <v>2058</v>
      </c>
      <c r="E128" s="49"/>
      <c r="F128" s="49"/>
      <c r="G128" s="49"/>
      <c r="H128" s="49"/>
      <c r="I128" s="58"/>
    </row>
    <row r="129" spans="1:9" ht="22" customHeight="1" x14ac:dyDescent="0.2">
      <c r="A129" s="55" t="s">
        <v>242</v>
      </c>
      <c r="B129" s="56" t="s">
        <v>162</v>
      </c>
      <c r="C129" s="49">
        <v>3</v>
      </c>
      <c r="D129" s="57" t="s">
        <v>2059</v>
      </c>
      <c r="E129" s="49"/>
      <c r="F129" s="49"/>
      <c r="G129" s="49"/>
      <c r="H129" s="49"/>
      <c r="I129" s="58"/>
    </row>
    <row r="130" spans="1:9" ht="22" customHeight="1" x14ac:dyDescent="0.2">
      <c r="A130" s="55" t="s">
        <v>242</v>
      </c>
      <c r="B130" s="56" t="s">
        <v>164</v>
      </c>
      <c r="C130" s="49">
        <v>4</v>
      </c>
      <c r="D130" s="57" t="s">
        <v>2060</v>
      </c>
      <c r="E130" s="49"/>
      <c r="F130" s="49"/>
      <c r="G130" s="49"/>
      <c r="H130" s="49"/>
      <c r="I130" s="58"/>
    </row>
    <row r="131" spans="1:9" ht="22" customHeight="1" x14ac:dyDescent="0.2">
      <c r="A131" s="55" t="s">
        <v>242</v>
      </c>
      <c r="B131" s="56" t="s">
        <v>165</v>
      </c>
      <c r="C131" s="49">
        <v>5</v>
      </c>
      <c r="D131" s="57" t="s">
        <v>2061</v>
      </c>
      <c r="E131" s="49"/>
      <c r="F131" s="49"/>
      <c r="G131" s="49"/>
      <c r="H131" s="49"/>
      <c r="I131" s="58"/>
    </row>
    <row r="132" spans="1:9" ht="22" customHeight="1" x14ac:dyDescent="0.2">
      <c r="A132" s="55" t="s">
        <v>242</v>
      </c>
      <c r="B132" s="56" t="s">
        <v>166</v>
      </c>
      <c r="C132" s="49">
        <v>4</v>
      </c>
      <c r="D132" s="57" t="s">
        <v>2062</v>
      </c>
      <c r="E132" s="49"/>
      <c r="F132" s="49"/>
      <c r="G132" s="49"/>
      <c r="H132" s="49"/>
      <c r="I132" s="58"/>
    </row>
    <row r="133" spans="1:9" ht="22" customHeight="1" x14ac:dyDescent="0.2">
      <c r="A133" s="55" t="s">
        <v>242</v>
      </c>
      <c r="B133" s="56" t="s">
        <v>168</v>
      </c>
      <c r="C133" s="49">
        <v>2</v>
      </c>
      <c r="D133" s="57" t="s">
        <v>2063</v>
      </c>
      <c r="E133" s="49"/>
      <c r="F133" s="49"/>
      <c r="G133" s="49"/>
      <c r="H133" s="49"/>
      <c r="I133" s="58"/>
    </row>
    <row r="134" spans="1:9" ht="22" customHeight="1" x14ac:dyDescent="0.2">
      <c r="A134" s="55" t="s">
        <v>242</v>
      </c>
      <c r="B134" s="56" t="s">
        <v>169</v>
      </c>
      <c r="C134" s="49">
        <v>6</v>
      </c>
      <c r="D134" s="57" t="s">
        <v>2064</v>
      </c>
      <c r="E134" s="49"/>
      <c r="F134" s="49"/>
      <c r="G134" s="49"/>
      <c r="H134" s="49"/>
      <c r="I134" s="58"/>
    </row>
    <row r="135" spans="1:9" ht="22" customHeight="1" x14ac:dyDescent="0.2">
      <c r="A135" s="55" t="s">
        <v>242</v>
      </c>
      <c r="B135" s="56" t="s">
        <v>170</v>
      </c>
      <c r="C135" s="49">
        <v>1</v>
      </c>
      <c r="D135" s="57" t="s">
        <v>695</v>
      </c>
      <c r="E135" s="49"/>
      <c r="F135" s="49"/>
      <c r="G135" s="49"/>
      <c r="H135" s="49"/>
      <c r="I135" s="58"/>
    </row>
    <row r="136" spans="1:9" ht="22" customHeight="1" x14ac:dyDescent="0.2">
      <c r="A136" s="55" t="s">
        <v>242</v>
      </c>
      <c r="B136" s="56" t="s">
        <v>171</v>
      </c>
      <c r="C136" s="49">
        <v>4</v>
      </c>
      <c r="D136" s="57" t="s">
        <v>2065</v>
      </c>
      <c r="E136" s="49"/>
      <c r="F136" s="49"/>
      <c r="G136" s="49"/>
      <c r="H136" s="49"/>
      <c r="I136" s="58"/>
    </row>
    <row r="137" spans="1:9" ht="22" customHeight="1" x14ac:dyDescent="0.2">
      <c r="A137" s="55" t="s">
        <v>242</v>
      </c>
      <c r="B137" s="56" t="s">
        <v>173</v>
      </c>
      <c r="C137" s="49">
        <v>6</v>
      </c>
      <c r="D137" s="57" t="s">
        <v>2066</v>
      </c>
      <c r="E137" s="49"/>
      <c r="F137" s="49"/>
      <c r="G137" s="49"/>
      <c r="H137" s="49"/>
      <c r="I137" s="58"/>
    </row>
    <row r="138" spans="1:9" ht="22" customHeight="1" x14ac:dyDescent="0.2">
      <c r="A138" s="55" t="s">
        <v>242</v>
      </c>
      <c r="B138" s="56" t="s">
        <v>174</v>
      </c>
      <c r="C138" s="49">
        <v>6</v>
      </c>
      <c r="D138" s="57" t="s">
        <v>2067</v>
      </c>
      <c r="E138" s="49"/>
      <c r="F138" s="49"/>
      <c r="G138" s="49"/>
      <c r="H138" s="49"/>
      <c r="I138" s="58"/>
    </row>
    <row r="139" spans="1:9" ht="22" customHeight="1" x14ac:dyDescent="0.2">
      <c r="A139" s="55" t="s">
        <v>242</v>
      </c>
      <c r="B139" s="56" t="s">
        <v>176</v>
      </c>
      <c r="C139" s="49">
        <v>4</v>
      </c>
      <c r="D139" s="57" t="s">
        <v>2068</v>
      </c>
      <c r="E139" s="49"/>
      <c r="F139" s="49"/>
      <c r="G139" s="49"/>
      <c r="H139" s="49"/>
      <c r="I139" s="58"/>
    </row>
    <row r="140" spans="1:9" ht="22" customHeight="1" x14ac:dyDescent="0.2">
      <c r="A140" s="55" t="s">
        <v>242</v>
      </c>
      <c r="B140" s="56" t="s">
        <v>177</v>
      </c>
      <c r="C140" s="49">
        <v>4</v>
      </c>
      <c r="D140" s="57" t="s">
        <v>2069</v>
      </c>
      <c r="E140" s="49"/>
      <c r="F140" s="49"/>
      <c r="G140" s="49"/>
      <c r="H140" s="49"/>
      <c r="I140" s="58"/>
    </row>
    <row r="141" spans="1:9" ht="22" customHeight="1" x14ac:dyDescent="0.2">
      <c r="A141" s="55" t="s">
        <v>242</v>
      </c>
      <c r="B141" s="56" t="s">
        <v>178</v>
      </c>
      <c r="C141" s="49">
        <v>2</v>
      </c>
      <c r="D141" s="57" t="s">
        <v>2070</v>
      </c>
      <c r="E141" s="49"/>
      <c r="F141" s="49"/>
      <c r="G141" s="49"/>
      <c r="H141" s="49"/>
      <c r="I141" s="58"/>
    </row>
    <row r="142" spans="1:9" ht="22" customHeight="1" x14ac:dyDescent="0.2">
      <c r="A142" s="55" t="s">
        <v>242</v>
      </c>
      <c r="B142" s="56" t="s">
        <v>180</v>
      </c>
      <c r="C142" s="49">
        <v>5</v>
      </c>
      <c r="D142" s="57" t="s">
        <v>2071</v>
      </c>
      <c r="E142" s="49"/>
      <c r="F142" s="49"/>
      <c r="G142" s="49"/>
      <c r="H142" s="49"/>
      <c r="I142" s="58"/>
    </row>
    <row r="143" spans="1:9" ht="22" customHeight="1" x14ac:dyDescent="0.2">
      <c r="A143" s="55" t="s">
        <v>242</v>
      </c>
      <c r="B143" s="56" t="s">
        <v>181</v>
      </c>
      <c r="C143" s="49">
        <v>4</v>
      </c>
      <c r="D143" s="57" t="s">
        <v>2072</v>
      </c>
      <c r="E143" s="49"/>
      <c r="F143" s="49"/>
      <c r="G143" s="49"/>
      <c r="H143" s="49"/>
      <c r="I143" s="58"/>
    </row>
    <row r="144" spans="1:9" ht="22" customHeight="1" x14ac:dyDescent="0.2">
      <c r="A144" s="55" t="s">
        <v>242</v>
      </c>
      <c r="B144" s="56" t="s">
        <v>182</v>
      </c>
      <c r="C144" s="49">
        <v>5</v>
      </c>
      <c r="D144" s="57" t="s">
        <v>2073</v>
      </c>
      <c r="E144" s="49"/>
      <c r="F144" s="49"/>
      <c r="G144" s="49"/>
      <c r="H144" s="49"/>
      <c r="I144" s="58"/>
    </row>
    <row r="145" spans="1:9" ht="22" customHeight="1" x14ac:dyDescent="0.2">
      <c r="A145" s="55" t="s">
        <v>242</v>
      </c>
      <c r="B145" s="56" t="s">
        <v>183</v>
      </c>
      <c r="C145" s="49">
        <v>3</v>
      </c>
      <c r="D145" s="57" t="s">
        <v>2074</v>
      </c>
      <c r="E145" s="49"/>
      <c r="F145" s="49"/>
      <c r="G145" s="49"/>
      <c r="H145" s="49"/>
      <c r="I145" s="58"/>
    </row>
    <row r="146" spans="1:9" ht="22" customHeight="1" x14ac:dyDescent="0.2">
      <c r="A146" s="55" t="s">
        <v>242</v>
      </c>
      <c r="B146" s="56" t="s">
        <v>184</v>
      </c>
      <c r="C146" s="49">
        <v>3</v>
      </c>
      <c r="D146" s="57" t="s">
        <v>1919</v>
      </c>
      <c r="E146" s="49"/>
      <c r="F146" s="49"/>
      <c r="G146" s="49"/>
      <c r="H146" s="49"/>
      <c r="I146" s="58"/>
    </row>
    <row r="147" spans="1:9" ht="22" customHeight="1" x14ac:dyDescent="0.2">
      <c r="A147" s="55" t="s">
        <v>242</v>
      </c>
      <c r="B147" s="56" t="s">
        <v>185</v>
      </c>
      <c r="C147" s="49">
        <v>4</v>
      </c>
      <c r="D147" s="57" t="s">
        <v>2075</v>
      </c>
      <c r="E147" s="49"/>
      <c r="F147" s="49"/>
      <c r="G147" s="49"/>
      <c r="H147" s="49"/>
      <c r="I147" s="58"/>
    </row>
    <row r="148" spans="1:9" ht="22" customHeight="1" x14ac:dyDescent="0.2">
      <c r="A148" s="55" t="s">
        <v>242</v>
      </c>
      <c r="B148" s="56" t="s">
        <v>186</v>
      </c>
      <c r="C148" s="49">
        <v>4</v>
      </c>
      <c r="D148" s="57" t="s">
        <v>2076</v>
      </c>
      <c r="E148" s="49"/>
      <c r="F148" s="49"/>
      <c r="G148" s="49"/>
      <c r="H148" s="49"/>
      <c r="I148" s="58"/>
    </row>
    <row r="149" spans="1:9" ht="22" customHeight="1" x14ac:dyDescent="0.2">
      <c r="A149" s="55" t="s">
        <v>242</v>
      </c>
      <c r="B149" s="56" t="s">
        <v>187</v>
      </c>
      <c r="C149" s="49">
        <v>3</v>
      </c>
      <c r="D149" s="57" t="s">
        <v>2077</v>
      </c>
      <c r="E149" s="49"/>
      <c r="F149" s="49"/>
      <c r="G149" s="49"/>
      <c r="H149" s="49"/>
      <c r="I149" s="58"/>
    </row>
    <row r="150" spans="1:9" ht="22" customHeight="1" x14ac:dyDescent="0.2">
      <c r="A150" s="55" t="s">
        <v>242</v>
      </c>
      <c r="B150" s="56" t="s">
        <v>189</v>
      </c>
      <c r="C150" s="49">
        <v>4</v>
      </c>
      <c r="D150" s="57" t="s">
        <v>2078</v>
      </c>
      <c r="E150" s="49"/>
      <c r="F150" s="49"/>
      <c r="G150" s="49"/>
      <c r="H150" s="49"/>
      <c r="I150" s="58"/>
    </row>
    <row r="151" spans="1:9" ht="22" customHeight="1" x14ac:dyDescent="0.2">
      <c r="A151" s="55" t="s">
        <v>242</v>
      </c>
      <c r="B151" s="56" t="s">
        <v>190</v>
      </c>
      <c r="C151" s="49">
        <v>4</v>
      </c>
      <c r="D151" s="57" t="s">
        <v>2079</v>
      </c>
      <c r="E151" s="49"/>
      <c r="F151" s="49"/>
      <c r="G151" s="49"/>
      <c r="H151" s="49"/>
      <c r="I151" s="58"/>
    </row>
    <row r="152" spans="1:9" ht="22" customHeight="1" x14ac:dyDescent="0.2">
      <c r="A152" s="55" t="s">
        <v>242</v>
      </c>
      <c r="B152" s="56" t="s">
        <v>191</v>
      </c>
      <c r="C152" s="49">
        <v>4</v>
      </c>
      <c r="D152" s="57" t="s">
        <v>2080</v>
      </c>
      <c r="E152" s="49"/>
      <c r="F152" s="49"/>
      <c r="G152" s="49"/>
      <c r="H152" s="49"/>
      <c r="I152" s="58"/>
    </row>
    <row r="153" spans="1:9" ht="22" customHeight="1" x14ac:dyDescent="0.2">
      <c r="A153" s="55" t="s">
        <v>242</v>
      </c>
      <c r="B153" s="56" t="s">
        <v>192</v>
      </c>
      <c r="C153" s="49">
        <v>3</v>
      </c>
      <c r="D153" s="57" t="s">
        <v>2081</v>
      </c>
      <c r="E153" s="49"/>
      <c r="F153" s="49"/>
      <c r="G153" s="49"/>
      <c r="H153" s="49"/>
      <c r="I153" s="58"/>
    </row>
    <row r="154" spans="1:9" ht="22" customHeight="1" x14ac:dyDescent="0.2">
      <c r="A154" s="55" t="s">
        <v>242</v>
      </c>
      <c r="B154" s="56" t="s">
        <v>193</v>
      </c>
      <c r="C154" s="49">
        <v>4</v>
      </c>
      <c r="D154" s="57" t="s">
        <v>2082</v>
      </c>
      <c r="E154" s="49"/>
      <c r="F154" s="49"/>
      <c r="G154" s="49"/>
      <c r="H154" s="49"/>
      <c r="I154" s="58"/>
    </row>
    <row r="155" spans="1:9" ht="22" customHeight="1" x14ac:dyDescent="0.2">
      <c r="A155" s="55" t="s">
        <v>242</v>
      </c>
      <c r="B155" s="56" t="s">
        <v>195</v>
      </c>
      <c r="C155" s="49">
        <v>7</v>
      </c>
      <c r="D155" s="57" t="s">
        <v>2083</v>
      </c>
      <c r="E155" s="49"/>
      <c r="F155" s="49"/>
      <c r="G155" s="49"/>
      <c r="H155" s="49"/>
      <c r="I155" s="58"/>
    </row>
    <row r="156" spans="1:9" ht="22" customHeight="1" x14ac:dyDescent="0.2">
      <c r="A156" s="55" t="s">
        <v>242</v>
      </c>
      <c r="B156" s="56" t="s">
        <v>197</v>
      </c>
      <c r="C156" s="49">
        <v>3</v>
      </c>
      <c r="D156" s="57" t="s">
        <v>2084</v>
      </c>
      <c r="E156" s="49"/>
      <c r="F156" s="49"/>
      <c r="G156" s="49"/>
      <c r="H156" s="49"/>
      <c r="I156" s="58"/>
    </row>
    <row r="157" spans="1:9" ht="22" customHeight="1" x14ac:dyDescent="0.2">
      <c r="A157" s="55" t="s">
        <v>242</v>
      </c>
      <c r="B157" s="56" t="s">
        <v>198</v>
      </c>
      <c r="C157" s="49">
        <v>5</v>
      </c>
      <c r="D157" s="57" t="s">
        <v>2085</v>
      </c>
      <c r="E157" s="49"/>
      <c r="F157" s="49"/>
      <c r="G157" s="49"/>
      <c r="H157" s="49"/>
      <c r="I157" s="58"/>
    </row>
    <row r="159" spans="1:9" ht="60" x14ac:dyDescent="0.2">
      <c r="A159" s="47" t="s">
        <v>2086</v>
      </c>
      <c r="B159" s="47"/>
      <c r="C159" s="47"/>
      <c r="D159" s="47"/>
      <c r="E159" s="47"/>
      <c r="F159" s="47"/>
      <c r="G159" s="47"/>
      <c r="H159" s="47"/>
      <c r="I159" s="47"/>
    </row>
    <row r="160" spans="1:9" ht="92" customHeight="1" x14ac:dyDescent="0.25">
      <c r="A160" s="63" t="s">
        <v>2087</v>
      </c>
      <c r="B160" t="s">
        <v>2088</v>
      </c>
      <c r="C160" s="64"/>
    </row>
    <row r="161" spans="1:3" ht="92" customHeight="1" x14ac:dyDescent="0.25">
      <c r="A161" s="63" t="s">
        <v>2089</v>
      </c>
      <c r="B161" t="s">
        <v>2090</v>
      </c>
      <c r="C161" s="64"/>
    </row>
    <row r="162" spans="1:3" ht="92" customHeight="1" x14ac:dyDescent="0.25">
      <c r="A162" s="63" t="s">
        <v>2091</v>
      </c>
      <c r="B162" t="s">
        <v>2092</v>
      </c>
      <c r="C162" s="64"/>
    </row>
    <row r="163" spans="1:3" ht="92" customHeight="1" x14ac:dyDescent="0.25">
      <c r="A163" s="63" t="s">
        <v>2093</v>
      </c>
      <c r="B163" t="s">
        <v>2094</v>
      </c>
      <c r="C163" s="64"/>
    </row>
    <row r="164" spans="1:3" ht="92" customHeight="1" x14ac:dyDescent="0.25">
      <c r="A164" s="63" t="s">
        <v>2095</v>
      </c>
      <c r="B164" t="s">
        <v>2096</v>
      </c>
      <c r="C164" s="64"/>
    </row>
    <row r="165" spans="1:3" ht="92" customHeight="1" x14ac:dyDescent="0.25">
      <c r="A165" s="63" t="s">
        <v>2097</v>
      </c>
      <c r="B165" t="s">
        <v>2098</v>
      </c>
      <c r="C165" s="64"/>
    </row>
    <row r="166" spans="1:3" ht="92" customHeight="1" x14ac:dyDescent="0.25">
      <c r="A166" s="63" t="s">
        <v>2099</v>
      </c>
      <c r="B166" t="s">
        <v>2100</v>
      </c>
      <c r="C166" s="64"/>
    </row>
  </sheetData>
  <autoFilter ref="A5:I35"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Read Me</vt:lpstr>
      <vt:lpstr>CC1 Controls</vt:lpstr>
      <vt:lpstr>CC2 Controls</vt:lpstr>
      <vt:lpstr>CC3 Controls</vt:lpstr>
      <vt:lpstr>CC4 Controls</vt:lpstr>
      <vt:lpstr>CC5 Controls</vt:lpstr>
      <vt:lpstr>CC6 Controls</vt:lpstr>
      <vt:lpstr>CC7 Controls</vt:lpstr>
      <vt:lpstr>CC8 Controls</vt:lpstr>
      <vt:lpstr>CC9 Controls</vt:lpstr>
      <vt:lpstr>Setup</vt:lpstr>
      <vt:lpstr>Governance Log</vt:lpstr>
      <vt:lpstr>Calendar</vt:lpstr>
      <vt:lpstr>Policy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Sharma</cp:lastModifiedBy>
  <cp:revision>0</cp:revision>
  <dcterms:created xsi:type="dcterms:W3CDTF">2026-08-05T22:01:53Z</dcterms:created>
  <dcterms:modified xsi:type="dcterms:W3CDTF">2026-08-06T13:28:20Z</dcterms:modified>
  <dc:language>en-US</dc:language>
</cp:coreProperties>
</file>