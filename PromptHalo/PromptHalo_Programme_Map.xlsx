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Blockers" sheetId="3" state="visible" r:id="rId3"/>
    <sheet xmlns:r="http://schemas.openxmlformats.org/officeDocument/2006/relationships" name="Capacity" sheetId="4" state="visible" r:id="rId4"/>
  </sheets>
  <definedNames>
    <definedName name="_xlnm.Print_Titles" localSheetId="0">'Roadmap'!$4:$4</definedName>
    <definedName name="_xlnm.Print_Area" localSheetId="0">'Roadmap'!$A$1:$BJ$64</definedName>
    <definedName name="_xlnm.Print_Titles" localSheetId="1">'Milestones'!$4:$4</definedName>
    <definedName name="_xlnm.Print_Titles" localSheetId="2">'Blockers'!$4:$4</definedName>
    <definedName name="_xlnm.Print_Titles" localSheetId="3">'Capacity'!$4:$4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 mmm yyyy"/>
    <numFmt numFmtId="166" formatCode="dd mmm"/>
  </numFmts>
  <fonts count="14">
    <font>
      <name val="Calibri"/>
      <family val="2"/>
      <color theme="1"/>
      <sz val="11"/>
      <scheme val="minor"/>
    </font>
    <font>
      <name val="Calibri"/>
      <b val="1"/>
      <color rgb="FF1B4965"/>
      <sz val="16"/>
    </font>
    <font>
      <name val="Calibri"/>
      <i val="1"/>
      <color rgb="FF7C8B94"/>
      <sz val="10"/>
    </font>
    <font>
      <name val="Calibri"/>
      <b val="1"/>
      <color rgb="FF12232B"/>
      <sz val="10.5"/>
    </font>
    <font>
      <name val="Calibri"/>
      <b val="1"/>
      <color rgb="FF1B4965"/>
      <sz val="10.5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color rgb="FF12232B"/>
      <sz val="10.5"/>
    </font>
    <font>
      <name val="Calibri"/>
      <color rgb="FF12232B"/>
      <sz val="9.5"/>
    </font>
    <font>
      <name val="Calibri"/>
      <i val="1"/>
      <color rgb="FF7C8B94"/>
      <sz val="10.5"/>
    </font>
    <font>
      <name val="Calibri"/>
      <b val="1"/>
      <color rgb="FF1B4965"/>
      <sz val="11"/>
    </font>
    <font>
      <name val="Calibri"/>
      <color rgb="FF12232B"/>
      <sz val="9"/>
    </font>
    <font>
      <name val="Calibri"/>
      <b val="1"/>
      <color rgb="FF1B4965"/>
      <sz val="15"/>
    </font>
    <font>
      <name val="Calibri"/>
      <color rgb="FF12232B"/>
      <sz val="10"/>
    </font>
  </fonts>
  <fills count="13">
    <fill>
      <patternFill/>
    </fill>
    <fill>
      <patternFill patternType="gray125"/>
    </fill>
    <fill>
      <patternFill patternType="solid">
        <fgColor rgb="FFFFF4E0"/>
      </patternFill>
    </fill>
    <fill>
      <patternFill patternType="solid">
        <fgColor rgb="FF1B4965"/>
      </patternFill>
    </fill>
    <fill>
      <patternFill patternType="solid">
        <fgColor rgb="FF2E6785"/>
      </patternFill>
    </fill>
    <fill>
      <patternFill patternType="solid">
        <fgColor rgb="FFC6D9EA"/>
      </patternFill>
    </fill>
    <fill>
      <patternFill patternType="solid">
        <fgColor rgb="FFF5DDB4"/>
      </patternFill>
    </fill>
    <fill>
      <patternFill patternType="solid">
        <fgColor rgb="FFC1E0CE"/>
      </patternFill>
    </fill>
    <fill>
      <patternFill patternType="solid">
        <fgColor rgb="FFD6E4EA"/>
      </patternFill>
    </fill>
    <fill>
      <patternFill patternType="solid">
        <fgColor rgb="FFE6E1F2"/>
      </patternFill>
    </fill>
    <fill>
      <patternFill patternType="solid">
        <fgColor rgb="FFFAE7C8"/>
      </patternFill>
    </fill>
    <fill>
      <patternFill patternType="solid">
        <fgColor rgb="FFDDE3E7"/>
      </patternFill>
    </fill>
    <fill>
      <patternFill patternType="solid">
        <fgColor rgb="FFF6D8D3"/>
      </patternFill>
    </fill>
  </fills>
  <borders count="2">
    <border>
      <left/>
      <right/>
      <top/>
      <bottom/>
      <diagonal/>
    </border>
    <border>
      <left style="thin">
        <color rgb="FFDDE8ED"/>
      </left>
      <right style="thin">
        <color rgb="FFDDE8ED"/>
      </right>
      <top style="thin">
        <color rgb="FFDDE8ED"/>
      </top>
      <bottom style="thin">
        <color rgb="FFDDE8ED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166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0" borderId="1" applyAlignment="1" pivotButton="0" quotePrefix="0" xfId="0">
      <alignment horizontal="center" vertical="center"/>
    </xf>
    <xf numFmtId="166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11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FFC1E0CE"/>
        </patternFill>
      </fill>
    </dxf>
    <dxf>
      <fill>
        <patternFill patternType="solid">
          <fgColor rgb="FFF6D8D3"/>
        </patternFill>
      </fill>
    </dxf>
    <dxf>
      <fill>
        <patternFill patternType="solid">
          <fgColor rgb="FFFAE7C8"/>
        </patternFill>
      </fill>
    </dxf>
    <dxf>
      <fill>
        <patternFill patternType="solid">
          <fgColor rgb="FFC6D9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BJ66"/>
  <sheetViews>
    <sheetView showGridLines="0" zoomScale="80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16" customWidth="1" min="3" max="3"/>
    <col width="13" customWidth="1" min="4" max="4"/>
    <col width="7" customWidth="1" min="5" max="5"/>
    <col width="7" customWidth="1" min="6" max="6"/>
    <col width="11" customWidth="1" min="7" max="7"/>
    <col width="11" customWidth="1" min="8" max="8"/>
    <col width="36" customWidth="1" min="9" max="9"/>
    <col width="26" customWidth="1" min="10" max="10"/>
    <col width="2.7" customWidth="1" min="11" max="11"/>
    <col width="2.7" customWidth="1" min="12" max="12"/>
    <col width="2.7" customWidth="1" min="13" max="13"/>
    <col width="2.7" customWidth="1" min="14" max="14"/>
    <col width="2.7" customWidth="1" min="15" max="15"/>
    <col width="2.7" customWidth="1" min="16" max="16"/>
    <col width="2.7" customWidth="1" min="17" max="17"/>
    <col width="2.7" customWidth="1" min="18" max="18"/>
    <col width="2.7" customWidth="1" min="19" max="19"/>
    <col width="2.7" customWidth="1" min="20" max="20"/>
    <col width="2.7" customWidth="1" min="21" max="21"/>
    <col width="2.7" customWidth="1" min="22" max="22"/>
    <col width="2.7" customWidth="1" min="23" max="23"/>
    <col width="2.7" customWidth="1" min="24" max="24"/>
    <col width="2.7" customWidth="1" min="25" max="25"/>
    <col width="2.7" customWidth="1" min="26" max="26"/>
    <col width="2.7" customWidth="1" min="27" max="27"/>
    <col width="2.7" customWidth="1" min="28" max="28"/>
    <col width="2.7" customWidth="1" min="29" max="29"/>
    <col width="2.7" customWidth="1" min="30" max="30"/>
    <col width="2.7" customWidth="1" min="31" max="31"/>
    <col width="2.7" customWidth="1" min="32" max="32"/>
    <col width="2.7" customWidth="1" min="33" max="33"/>
    <col width="2.7" customWidth="1" min="34" max="34"/>
    <col width="2.7" customWidth="1" min="35" max="35"/>
    <col width="2.7" customWidth="1" min="36" max="36"/>
    <col width="2.7" customWidth="1" min="37" max="37"/>
    <col width="2.7" customWidth="1" min="38" max="38"/>
    <col width="2.7" customWidth="1" min="39" max="39"/>
    <col width="2.7" customWidth="1" min="40" max="40"/>
    <col width="2.7" customWidth="1" min="41" max="41"/>
    <col width="2.7" customWidth="1" min="42" max="42"/>
    <col width="2.7" customWidth="1" min="43" max="43"/>
    <col width="2.7" customWidth="1" min="44" max="44"/>
    <col width="2.7" customWidth="1" min="45" max="45"/>
    <col width="2.7" customWidth="1" min="46" max="46"/>
    <col width="2.7" customWidth="1" min="47" max="47"/>
    <col width="2.7" customWidth="1" min="48" max="48"/>
    <col width="2.7" customWidth="1" min="49" max="49"/>
    <col width="2.7" customWidth="1" min="50" max="50"/>
    <col width="2.7" customWidth="1" min="51" max="51"/>
    <col width="2.7" customWidth="1" min="52" max="52"/>
    <col width="2.7" customWidth="1" min="53" max="53"/>
    <col width="2.7" customWidth="1" min="54" max="54"/>
    <col width="2.7" customWidth="1" min="55" max="55"/>
    <col width="2.7" customWidth="1" min="56" max="56"/>
    <col width="2.7" customWidth="1" min="57" max="57"/>
    <col width="2.7" customWidth="1" min="58" max="58"/>
    <col width="2.7" customWidth="1" min="59" max="59"/>
    <col width="2.7" customWidth="1" min="60" max="60"/>
    <col width="2.7" customWidth="1" min="61" max="61"/>
    <col width="2.7" customWidth="1" min="62" max="62"/>
  </cols>
  <sheetData>
    <row r="1">
      <c r="A1" s="1" t="inlineStr">
        <is>
          <t>PromptHalo — SOC 2 Programme Map</t>
        </is>
      </c>
    </row>
    <row r="2" ht="30" customHeight="1">
      <c r="A2" s="2" t="inlineStr">
        <is>
          <t>Seven workstreams · 42 tasks · 9 milestones. Week numbers are relative to the programme start date in C3. Change that date and every date column moves. Use the +/− outline buttons in the left margin to collapse a workstream. The bar chart to the right is driven by the Start week and End week columns, so editing those redraws it.</t>
        </is>
      </c>
    </row>
    <row r="3">
      <c r="A3" s="3" t="inlineStr">
        <is>
          <t>Programme start (Monday of week 1)</t>
        </is>
      </c>
      <c r="C3" s="4" t="n">
        <v>46244</v>
      </c>
    </row>
    <row r="4" ht="30" customHeight="1">
      <c r="A4" s="5" t="inlineStr">
        <is>
          <t>ID</t>
        </is>
      </c>
      <c r="B4" s="5" t="inlineStr">
        <is>
          <t>Workstream and tasks</t>
        </is>
      </c>
      <c r="C4" s="5" t="inlineStr">
        <is>
          <t>Owner</t>
        </is>
      </c>
      <c r="D4" s="5" t="inlineStr">
        <is>
          <t>Status</t>
        </is>
      </c>
      <c r="E4" s="5" t="inlineStr">
        <is>
          <t>Start wk</t>
        </is>
      </c>
      <c r="F4" s="5" t="inlineStr">
        <is>
          <t>End wk</t>
        </is>
      </c>
      <c r="G4" s="5" t="inlineStr">
        <is>
          <t>Start date</t>
        </is>
      </c>
      <c r="H4" s="5" t="inlineStr">
        <is>
          <t>End date</t>
        </is>
      </c>
      <c r="I4" s="5" t="inlineStr">
        <is>
          <t>Controls closed</t>
        </is>
      </c>
      <c r="J4" s="5" t="inlineStr">
        <is>
          <t>Note</t>
        </is>
      </c>
      <c r="K4" s="6" t="n">
        <v>1</v>
      </c>
      <c r="L4" s="6" t="n">
        <v>2</v>
      </c>
      <c r="M4" s="6" t="n">
        <v>3</v>
      </c>
      <c r="N4" s="6" t="n">
        <v>4</v>
      </c>
      <c r="O4" s="6" t="n">
        <v>5</v>
      </c>
      <c r="P4" s="6" t="n">
        <v>6</v>
      </c>
      <c r="Q4" s="6" t="n">
        <v>7</v>
      </c>
      <c r="R4" s="6" t="n">
        <v>8</v>
      </c>
      <c r="S4" s="6" t="n">
        <v>9</v>
      </c>
      <c r="T4" s="6" t="n">
        <v>10</v>
      </c>
      <c r="U4" s="6" t="n">
        <v>11</v>
      </c>
      <c r="V4" s="6" t="n">
        <v>12</v>
      </c>
      <c r="W4" s="6" t="n">
        <v>13</v>
      </c>
      <c r="X4" s="7" t="n">
        <v>14</v>
      </c>
      <c r="Y4" s="7" t="n">
        <v>15</v>
      </c>
      <c r="Z4" s="7" t="n">
        <v>16</v>
      </c>
      <c r="AA4" s="7" t="n">
        <v>17</v>
      </c>
      <c r="AB4" s="7" t="n">
        <v>18</v>
      </c>
      <c r="AC4" s="7" t="n">
        <v>19</v>
      </c>
      <c r="AD4" s="7" t="n">
        <v>20</v>
      </c>
      <c r="AE4" s="7" t="n">
        <v>21</v>
      </c>
      <c r="AF4" s="7" t="n">
        <v>22</v>
      </c>
      <c r="AG4" s="7" t="n">
        <v>23</v>
      </c>
      <c r="AH4" s="7" t="n">
        <v>24</v>
      </c>
      <c r="AI4" s="7" t="n">
        <v>25</v>
      </c>
      <c r="AJ4" s="7" t="n">
        <v>26</v>
      </c>
      <c r="AK4" s="6" t="n">
        <v>27</v>
      </c>
      <c r="AL4" s="6" t="n">
        <v>28</v>
      </c>
      <c r="AM4" s="6" t="n">
        <v>29</v>
      </c>
      <c r="AN4" s="6" t="n">
        <v>30</v>
      </c>
      <c r="AO4" s="6" t="n">
        <v>31</v>
      </c>
      <c r="AP4" s="6" t="n">
        <v>32</v>
      </c>
      <c r="AQ4" s="6" t="n">
        <v>33</v>
      </c>
      <c r="AR4" s="6" t="n">
        <v>34</v>
      </c>
      <c r="AS4" s="6" t="n">
        <v>35</v>
      </c>
      <c r="AT4" s="6" t="n">
        <v>36</v>
      </c>
      <c r="AU4" s="6" t="n">
        <v>37</v>
      </c>
      <c r="AV4" s="6" t="n">
        <v>38</v>
      </c>
      <c r="AW4" s="6" t="n">
        <v>39</v>
      </c>
      <c r="AX4" s="7" t="n">
        <v>40</v>
      </c>
      <c r="AY4" s="7" t="n">
        <v>41</v>
      </c>
      <c r="AZ4" s="7" t="n">
        <v>42</v>
      </c>
      <c r="BA4" s="7" t="n">
        <v>43</v>
      </c>
      <c r="BB4" s="7" t="n">
        <v>44</v>
      </c>
      <c r="BC4" s="7" t="n">
        <v>45</v>
      </c>
      <c r="BD4" s="7" t="n">
        <v>46</v>
      </c>
      <c r="BE4" s="7" t="n">
        <v>47</v>
      </c>
      <c r="BF4" s="7" t="n">
        <v>48</v>
      </c>
      <c r="BG4" s="7" t="n">
        <v>49</v>
      </c>
      <c r="BH4" s="7" t="n">
        <v>50</v>
      </c>
      <c r="BI4" s="7" t="n">
        <v>51</v>
      </c>
      <c r="BJ4" s="7" t="n">
        <v>52</v>
      </c>
    </row>
    <row r="5" ht="30" customHeight="1">
      <c r="A5" s="8" t="inlineStr">
        <is>
          <t>WS1</t>
        </is>
      </c>
      <c r="B5" s="9" t="inlineStr">
        <is>
          <t>Document remediation — Make the 42 edits that close the design gap, and reissue the library clean.</t>
        </is>
      </c>
      <c r="C5" s="10" t="inlineStr">
        <is>
          <t>Security Officer</t>
        </is>
      </c>
      <c r="D5" s="11" t="inlineStr">
        <is>
          <t>Not started</t>
        </is>
      </c>
      <c r="E5" s="12" t="n">
        <v>1</v>
      </c>
      <c r="F5" s="12" t="n">
        <v>8</v>
      </c>
      <c r="G5" s="13">
        <f>$C$3+(E5-1)*7</f>
        <v/>
      </c>
      <c r="H5" s="13">
        <f>$C$3+F5*7-1</f>
        <v/>
      </c>
      <c r="I5" s="14" t="inlineStr">
        <is>
          <t>Retires: CMP-004, CMP-005, GOV-003</t>
        </is>
      </c>
      <c r="J5" s="11" t="inlineStr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</row>
    <row r="6" outlineLevel="1" ht="26" customHeight="1">
      <c r="A6" s="15" t="inlineStr"/>
      <c r="B6" s="16" t="inlineStr">
        <is>
          <t xml:space="preserve">    Choose one destination for deficiencies and amend the four cross-references</t>
        </is>
      </c>
      <c r="C6" s="15" t="inlineStr">
        <is>
          <t>Security Officer</t>
        </is>
      </c>
      <c r="D6" s="17" t="inlineStr">
        <is>
          <t>Not started</t>
        </is>
      </c>
      <c r="E6" s="18" t="n">
        <v>1</v>
      </c>
      <c r="F6" s="18" t="n">
        <v>2</v>
      </c>
      <c r="G6" s="19">
        <f>$C$3+(E6-1)*7</f>
        <v/>
      </c>
      <c r="H6" s="19">
        <f>$C$3+F6*7-1</f>
        <v/>
      </c>
      <c r="I6" s="20" t="inlineStr">
        <is>
          <t>CC4.2-03, CC4.2-04, CC4.2-06, CC5.3-04, CC7.5-03</t>
        </is>
      </c>
      <c r="J6" s="17" t="inlineStr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</row>
    <row r="7" outlineLevel="1" ht="26" customHeight="1">
      <c r="A7" s="15" t="inlineStr"/>
      <c r="B7" s="16" t="inlineStr">
        <is>
          <t xml:space="preserve">    PLN-ISP and PLN-HRS insertions — 24 of the 26 plan-side edits</t>
        </is>
      </c>
      <c r="C7" s="15" t="inlineStr">
        <is>
          <t>Security Officer</t>
        </is>
      </c>
      <c r="D7" s="17" t="inlineStr">
        <is>
          <t>Not started</t>
        </is>
      </c>
      <c r="E7" s="18" t="n">
        <v>1</v>
      </c>
      <c r="F7" s="18" t="n">
        <v>3</v>
      </c>
      <c r="G7" s="19">
        <f>$C$3+(E7-1)*7</f>
        <v/>
      </c>
      <c r="H7" s="19">
        <f>$C$3+F7*7-1</f>
        <v/>
      </c>
      <c r="I7" s="20" t="inlineStr">
        <is>
          <t>CC1.1-01, CC1.2-02, CC1.5-03, CC2.3-01, CC2.3-05</t>
        </is>
      </c>
      <c r="J7" s="17" t="inlineStr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</row>
    <row r="8" outlineLevel="1" ht="26" customHeight="1">
      <c r="A8" s="15" t="inlineStr"/>
      <c r="B8" s="16" t="inlineStr">
        <is>
          <t xml:space="preserve">    POL-RSK-001 five clauses and POL-ISP-001 Annex A reconciliation</t>
        </is>
      </c>
      <c r="C8" s="15" t="inlineStr">
        <is>
          <t>Security Officer</t>
        </is>
      </c>
      <c r="D8" s="17" t="inlineStr">
        <is>
          <t>Not started</t>
        </is>
      </c>
      <c r="E8" s="18" t="n">
        <v>3</v>
      </c>
      <c r="F8" s="18" t="n">
        <v>5</v>
      </c>
      <c r="G8" s="19">
        <f>$C$3+(E8-1)*7</f>
        <v/>
      </c>
      <c r="H8" s="19">
        <f>$C$3+F8*7-1</f>
        <v/>
      </c>
      <c r="I8" s="20" t="inlineStr">
        <is>
          <t>CC3.1-02, CC3.1-05, CC3.3-04, CC3.4-03, CC3.4-04</t>
        </is>
      </c>
      <c r="J8" s="17" t="inlineStr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</row>
    <row r="9" outlineLevel="1" ht="26" customHeight="1">
      <c r="A9" s="15" t="inlineStr"/>
      <c r="B9" s="16" t="inlineStr">
        <is>
          <t xml:space="preserve">    POL-NET-001 network diagram clause; POL-IRP-001 §6 role model; POL-BCP-001 §8 alternate</t>
        </is>
      </c>
      <c r="C9" s="15" t="inlineStr">
        <is>
          <t>Security Officer</t>
        </is>
      </c>
      <c r="D9" s="17" t="inlineStr">
        <is>
          <t>Not started</t>
        </is>
      </c>
      <c r="E9" s="18" t="n">
        <v>4</v>
      </c>
      <c r="F9" s="18" t="n">
        <v>6</v>
      </c>
      <c r="G9" s="19">
        <f>$C$3+(E9-1)*7</f>
        <v/>
      </c>
      <c r="H9" s="19">
        <f>$C$3+F9*7-1</f>
        <v/>
      </c>
      <c r="I9" s="20" t="inlineStr">
        <is>
          <t>CC6.6-03, CC7.4-01, CC9.1-04</t>
        </is>
      </c>
      <c r="J9" s="17" t="inlineStr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</row>
    <row r="10" outlineLevel="1" ht="26" customHeight="1">
      <c r="A10" s="15" t="inlineStr"/>
      <c r="B10" s="16" t="inlineStr">
        <is>
          <t xml:space="preserve">    AI policy architecture: reduce POL-AI-001 §15/§16 to pointers, delete POL-SDLC-001 §14</t>
        </is>
      </c>
      <c r="C10" s="15" t="inlineStr">
        <is>
          <t>Security Officer</t>
        </is>
      </c>
      <c r="D10" s="17" t="inlineStr">
        <is>
          <t>Not started</t>
        </is>
      </c>
      <c r="E10" s="18" t="n">
        <v>5</v>
      </c>
      <c r="F10" s="18" t="n">
        <v>7</v>
      </c>
      <c r="G10" s="19">
        <f>$C$3+(E10-1)*7</f>
        <v/>
      </c>
      <c r="H10" s="19">
        <f>$C$3+F10*7-1</f>
        <v/>
      </c>
      <c r="I10" s="20" t="inlineStr">
        <is>
          <t>CC6.3-04, CC8.1-06</t>
        </is>
      </c>
      <c r="J10" s="17" t="inlineStr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</row>
    <row r="11" outlineLevel="1" ht="26" customHeight="1">
      <c r="A11" s="15" t="inlineStr"/>
      <c r="B11" s="16" t="inlineStr">
        <is>
          <t xml:space="preserve">    Refresh 21 stale tables of contents, fix seven cross-references, reissue as v1.1</t>
        </is>
      </c>
      <c r="C11" s="15" t="inlineStr">
        <is>
          <t>Security Officer</t>
        </is>
      </c>
      <c r="D11" s="17" t="inlineStr">
        <is>
          <t>Not started</t>
        </is>
      </c>
      <c r="E11" s="18" t="n">
        <v>6</v>
      </c>
      <c r="F11" s="18" t="n">
        <v>8</v>
      </c>
      <c r="G11" s="19">
        <f>$C$3+(E11-1)*7</f>
        <v/>
      </c>
      <c r="H11" s="19">
        <f>$C$3+F11*7-1</f>
        <v/>
      </c>
      <c r="I11" s="20" t="inlineStr">
        <is>
          <t>CC5.3-01, CC5.3-02</t>
        </is>
      </c>
      <c r="J11" s="17" t="inlineStr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</row>
    <row r="12" ht="30" customHeight="1">
      <c r="A12" s="21" t="inlineStr">
        <is>
          <t>WS2</t>
        </is>
      </c>
      <c r="B12" s="22" t="inlineStr">
        <is>
          <t>Risk programme — Stand the risk process up and run the first full assessment.</t>
        </is>
      </c>
      <c r="C12" s="23" t="inlineStr">
        <is>
          <t>Security Officer</t>
        </is>
      </c>
      <c r="D12" s="24" t="inlineStr">
        <is>
          <t>Not started</t>
        </is>
      </c>
      <c r="E12" s="25" t="n">
        <v>3</v>
      </c>
      <c r="F12" s="25" t="n">
        <v>11</v>
      </c>
      <c r="G12" s="26">
        <f>$C$3+(E12-1)*7</f>
        <v/>
      </c>
      <c r="H12" s="26">
        <f>$C$3+F12*7-1</f>
        <v/>
      </c>
      <c r="I12" s="27" t="inlineStr">
        <is>
          <t>Retires: GOV-004, HR-003, AI-001</t>
        </is>
      </c>
      <c r="J12" s="24" t="inlineStr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</row>
    <row r="13" outlineLevel="1" ht="26" customHeight="1">
      <c r="A13" s="15" t="inlineStr"/>
      <c r="B13" s="16" t="inlineStr">
        <is>
          <t xml:space="preserve">    Configure the register to the §10 twelve-field list; seed the CC1.2 independence entry</t>
        </is>
      </c>
      <c r="C13" s="15" t="inlineStr">
        <is>
          <t>Security Officer</t>
        </is>
      </c>
      <c r="D13" s="17" t="inlineStr">
        <is>
          <t>Not started</t>
        </is>
      </c>
      <c r="E13" s="18" t="n">
        <v>3</v>
      </c>
      <c r="F13" s="18" t="n">
        <v>4</v>
      </c>
      <c r="G13" s="19">
        <f>$C$3+(E13-1)*7</f>
        <v/>
      </c>
      <c r="H13" s="19">
        <f>$C$3+F13*7-1</f>
        <v/>
      </c>
      <c r="I13" s="20" t="inlineStr">
        <is>
          <t>CC3.2-03, CC3.2-06</t>
        </is>
      </c>
      <c r="J13" s="17" t="inlineStr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</row>
    <row r="14" outlineLevel="1" ht="26" customHeight="1">
      <c r="A14" s="15" t="inlineStr"/>
      <c r="B14" s="16" t="inlineStr">
        <is>
          <t xml:space="preserve">    Apply the §7 scales and §9 treatment bands so scores and due dates compute</t>
        </is>
      </c>
      <c r="C14" s="15" t="inlineStr">
        <is>
          <t>Security Officer</t>
        </is>
      </c>
      <c r="D14" s="17" t="inlineStr">
        <is>
          <t>Not started</t>
        </is>
      </c>
      <c r="E14" s="18" t="n">
        <v>4</v>
      </c>
      <c r="F14" s="18" t="n">
        <v>5</v>
      </c>
      <c r="G14" s="19">
        <f>$C$3+(E14-1)*7</f>
        <v/>
      </c>
      <c r="H14" s="19">
        <f>$C$3+F14*7-1</f>
        <v/>
      </c>
      <c r="I14" s="20" t="inlineStr">
        <is>
          <t>CC3.1-04, CC3.2-01</t>
        </is>
      </c>
      <c r="J14" s="17" t="inlineStr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</row>
    <row r="15" outlineLevel="1" ht="26" customHeight="1">
      <c r="A15" s="15" t="inlineStr"/>
      <c r="B15" s="16" t="inlineStr">
        <is>
          <t xml:space="preserve">    First assessment in three sweeps — entity, vendor, AI and agentic</t>
        </is>
      </c>
      <c r="C15" s="15" t="inlineStr">
        <is>
          <t>Security Officer</t>
        </is>
      </c>
      <c r="D15" s="17" t="inlineStr">
        <is>
          <t>Not started</t>
        </is>
      </c>
      <c r="E15" s="18" t="n">
        <v>5</v>
      </c>
      <c r="F15" s="18" t="n">
        <v>8</v>
      </c>
      <c r="G15" s="19">
        <f>$C$3+(E15-1)*7</f>
        <v/>
      </c>
      <c r="H15" s="19">
        <f>$C$3+F15*7-1</f>
        <v/>
      </c>
      <c r="I15" s="20" t="inlineStr">
        <is>
          <t>CC3.2-02, CC3.2-04, CC3.2-07</t>
        </is>
      </c>
      <c r="J15" s="17" t="inlineStr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</row>
    <row r="16" outlineLevel="1" ht="26" customHeight="1">
      <c r="A16" s="15" t="inlineStr"/>
      <c r="B16" s="16" t="inlineStr">
        <is>
          <t xml:space="preserve">    Fraud section from §11 including management override and client-access misuse</t>
        </is>
      </c>
      <c r="C16" s="15" t="inlineStr">
        <is>
          <t>Security Officer</t>
        </is>
      </c>
      <c r="D16" s="17" t="inlineStr">
        <is>
          <t>Not started</t>
        </is>
      </c>
      <c r="E16" s="18" t="n">
        <v>7</v>
      </c>
      <c r="F16" s="18" t="n">
        <v>9</v>
      </c>
      <c r="G16" s="19">
        <f>$C$3+(E16-1)*7</f>
        <v/>
      </c>
      <c r="H16" s="19">
        <f>$C$3+F16*7-1</f>
        <v/>
      </c>
      <c r="I16" s="20" t="inlineStr">
        <is>
          <t>CC3.3-01, CC3.3-02, CC3.3-03</t>
        </is>
      </c>
      <c r="J16" s="17" t="inlineStr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</row>
    <row r="17" outlineLevel="1" ht="26" customHeight="1">
      <c r="A17" s="15" t="inlineStr"/>
      <c r="B17" s="16" t="inlineStr">
        <is>
          <t xml:space="preserve">    Seven change triggers into engagement and vendor intake</t>
        </is>
      </c>
      <c r="C17" s="15" t="inlineStr">
        <is>
          <t>Security Officer</t>
        </is>
      </c>
      <c r="D17" s="17" t="inlineStr">
        <is>
          <t>Not started</t>
        </is>
      </c>
      <c r="E17" s="18" t="n">
        <v>8</v>
      </c>
      <c r="F17" s="18" t="n">
        <v>10</v>
      </c>
      <c r="G17" s="19">
        <f>$C$3+(E17-1)*7</f>
        <v/>
      </c>
      <c r="H17" s="19">
        <f>$C$3+F17*7-1</f>
        <v/>
      </c>
      <c r="I17" s="20" t="inlineStr">
        <is>
          <t>CC3.4-01, CC3.4-02</t>
        </is>
      </c>
      <c r="J17" s="17" t="inlineStr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</row>
    <row r="18" outlineLevel="1" ht="26" customHeight="1">
      <c r="A18" s="15" t="inlineStr"/>
      <c r="B18" s="16" t="inlineStr">
        <is>
          <t xml:space="preserve">    Obligations register and objective-to-control mapping</t>
        </is>
      </c>
      <c r="C18" s="15" t="inlineStr">
        <is>
          <t>Security Officer</t>
        </is>
      </c>
      <c r="D18" s="17" t="inlineStr">
        <is>
          <t>Not started</t>
        </is>
      </c>
      <c r="E18" s="18" t="n">
        <v>9</v>
      </c>
      <c r="F18" s="18" t="n">
        <v>11</v>
      </c>
      <c r="G18" s="19">
        <f>$C$3+(E18-1)*7</f>
        <v/>
      </c>
      <c r="H18" s="19">
        <f>$C$3+F18*7-1</f>
        <v/>
      </c>
      <c r="I18" s="20" t="inlineStr">
        <is>
          <t>CC3.1-03, CC3.1-05</t>
        </is>
      </c>
      <c r="J18" s="17" t="inlineStr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</row>
    <row r="19" ht="30" customHeight="1">
      <c r="A19" s="28" t="inlineStr">
        <is>
          <t>WS3</t>
        </is>
      </c>
      <c r="B19" s="29" t="inlineStr">
        <is>
          <t>Tooling and automation — Turn on the controls a system can operate, so people are left with the 34 that need a person.</t>
        </is>
      </c>
      <c r="C19" s="30" t="inlineStr">
        <is>
          <t>Security Officer</t>
        </is>
      </c>
      <c r="D19" s="31" t="inlineStr">
        <is>
          <t>Not started</t>
        </is>
      </c>
      <c r="E19" s="32" t="n">
        <v>1</v>
      </c>
      <c r="F19" s="32" t="n">
        <v>12</v>
      </c>
      <c r="G19" s="33">
        <f>$C$3+(E19-1)*7</f>
        <v/>
      </c>
      <c r="H19" s="33">
        <f>$C$3+F19*7-1</f>
        <v/>
      </c>
      <c r="I19" s="34" t="inlineStr">
        <is>
          <t>Retires: APP-001, PHY-001, AC-002, AC-003, OPS-002, AI-001</t>
        </is>
      </c>
      <c r="J19" s="31" t="inlineStr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</row>
    <row r="20" outlineLevel="1" ht="26" customHeight="1">
      <c r="A20" s="15" t="inlineStr"/>
      <c r="B20" s="16" t="inlineStr">
        <is>
          <t xml:space="preserve">    gitleaks pre-commit and CI; Semgrep in the pipeline — free, and retires APP-001</t>
        </is>
      </c>
      <c r="C20" s="15" t="inlineStr">
        <is>
          <t>Security Officer</t>
        </is>
      </c>
      <c r="D20" s="17" t="inlineStr">
        <is>
          <t>Not started</t>
        </is>
      </c>
      <c r="E20" s="18" t="n">
        <v>1</v>
      </c>
      <c r="F20" s="18" t="n">
        <v>1</v>
      </c>
      <c r="G20" s="19">
        <f>$C$3+(E20-1)*7</f>
        <v/>
      </c>
      <c r="H20" s="19">
        <f>$C$3+F20*7-1</f>
        <v/>
      </c>
      <c r="I20" s="20" t="inlineStr">
        <is>
          <t>CC6.7-03, CC7.1-02, CC7.1-03</t>
        </is>
      </c>
      <c r="J20" s="17" t="inlineStr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</row>
    <row r="21" outlineLevel="1" ht="26" customHeight="1">
      <c r="A21" s="15" t="inlineStr"/>
      <c r="B21" s="16" t="inlineStr">
        <is>
          <t xml:space="preserve">    Audit logging at 13-month retention, GuardDuty in every region, alert on disabling logging</t>
        </is>
      </c>
      <c r="C21" s="15" t="inlineStr">
        <is>
          <t>Security Officer</t>
        </is>
      </c>
      <c r="D21" s="17" t="inlineStr">
        <is>
          <t>Not started</t>
        </is>
      </c>
      <c r="E21" s="18" t="n">
        <v>2</v>
      </c>
      <c r="F21" s="18" t="n">
        <v>3</v>
      </c>
      <c r="G21" s="19">
        <f>$C$3+(E21-1)*7</f>
        <v/>
      </c>
      <c r="H21" s="19">
        <f>$C$3+F21*7-1</f>
        <v/>
      </c>
      <c r="I21" s="20" t="inlineStr">
        <is>
          <t>CC7.2-01, CC7.2-02, CC7.2-03</t>
        </is>
      </c>
      <c r="J21" s="17" t="inlineStr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</row>
    <row r="22" outlineLevel="1" ht="26" customHeight="1">
      <c r="A22" s="15" t="inlineStr"/>
      <c r="B22" s="16" t="inlineStr">
        <is>
          <t xml:space="preserve">    Kandji plus company laptops — retires PHY-001 and closes three CC6 controls</t>
        </is>
      </c>
      <c r="C22" s="15" t="inlineStr">
        <is>
          <t>Security Officer</t>
        </is>
      </c>
      <c r="D22" s="17" t="inlineStr">
        <is>
          <t>Not started</t>
        </is>
      </c>
      <c r="E22" s="18" t="n">
        <v>4</v>
      </c>
      <c r="F22" s="18" t="n">
        <v>6</v>
      </c>
      <c r="G22" s="19">
        <f>$C$3+(E22-1)*7</f>
        <v/>
      </c>
      <c r="H22" s="19">
        <f>$C$3+F22*7-1</f>
        <v/>
      </c>
      <c r="I22" s="20" t="inlineStr">
        <is>
          <t>CC6.1-05, CC6.8-01, CC6.8-02</t>
        </is>
      </c>
      <c r="J22" s="17" t="inlineStr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</row>
    <row r="23" outlineLevel="1" ht="26" customHeight="1">
      <c r="A23" s="15" t="inlineStr"/>
      <c r="B23" s="16" t="inlineStr">
        <is>
          <t xml:space="preserve">    GitHub Enterprise, branch protection, deployment population export</t>
        </is>
      </c>
      <c r="C23" s="15" t="inlineStr">
        <is>
          <t>Security Officer</t>
        </is>
      </c>
      <c r="D23" s="17" t="inlineStr">
        <is>
          <t>Not started</t>
        </is>
      </c>
      <c r="E23" s="18" t="n">
        <v>5</v>
      </c>
      <c r="F23" s="18" t="n">
        <v>7</v>
      </c>
      <c r="G23" s="19">
        <f>$C$3+(E23-1)*7</f>
        <v/>
      </c>
      <c r="H23" s="19">
        <f>$C$3+F23*7-1</f>
        <v/>
      </c>
      <c r="I23" s="20" t="inlineStr">
        <is>
          <t>CC8.1-04, CC8.1-07, CC4.1-05</t>
        </is>
      </c>
      <c r="J23" s="17" t="inlineStr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</row>
    <row r="24" outlineLevel="1" ht="26" customHeight="1">
      <c r="A24" s="15" t="inlineStr"/>
      <c r="B24" s="16" t="inlineStr">
        <is>
          <t xml:space="preserve">    Select and connect the HRIS — unblocks the joiner, mover and leaver population</t>
        </is>
      </c>
      <c r="C24" s="15" t="inlineStr">
        <is>
          <t>Security Officer</t>
        </is>
      </c>
      <c r="D24" s="17" t="inlineStr">
        <is>
          <t>Not started</t>
        </is>
      </c>
      <c r="E24" s="18" t="n">
        <v>7</v>
      </c>
      <c r="F24" s="18" t="n">
        <v>9</v>
      </c>
      <c r="G24" s="19">
        <f>$C$3+(E24-1)*7</f>
        <v/>
      </c>
      <c r="H24" s="19">
        <f>$C$3+F24*7-1</f>
        <v/>
      </c>
      <c r="I24" s="20" t="inlineStr">
        <is>
          <t>CC6.2-03, CC6.2-04</t>
        </is>
      </c>
      <c r="J24" s="17" t="inlineStr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</row>
    <row r="25" outlineLevel="1" ht="26" customHeight="1">
      <c r="A25" s="15" t="inlineStr"/>
      <c r="B25" s="16" t="inlineStr">
        <is>
          <t xml:space="preserve">    Agent inventory, dedicated identities, promptfoo and garak in CI</t>
        </is>
      </c>
      <c r="C25" s="15" t="inlineStr">
        <is>
          <t>Security Officer</t>
        </is>
      </c>
      <c r="D25" s="17" t="inlineStr">
        <is>
          <t>Not started</t>
        </is>
      </c>
      <c r="E25" s="18" t="n">
        <v>9</v>
      </c>
      <c r="F25" s="18" t="n">
        <v>12</v>
      </c>
      <c r="G25" s="19">
        <f>$C$3+(E25-1)*7</f>
        <v/>
      </c>
      <c r="H25" s="19">
        <f>$C$3+F25*7-1</f>
        <v/>
      </c>
      <c r="I25" s="20" t="inlineStr">
        <is>
          <t>CC6.3-04, CC7.1-04, CC7.2-04</t>
        </is>
      </c>
      <c r="J25" s="17" t="inlineStr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</row>
    <row r="26" ht="30" customHeight="1">
      <c r="A26" s="35" t="inlineStr">
        <is>
          <t>WS4</t>
        </is>
      </c>
      <c r="B26" s="36" t="inlineStr">
        <is>
          <t>Evidence and operating cadence — Start the cycles that produce retained evidence, and keep them running.</t>
        </is>
      </c>
      <c r="C26" s="37" t="inlineStr">
        <is>
          <t>Security Officer</t>
        </is>
      </c>
      <c r="D26" s="38" t="inlineStr">
        <is>
          <t>Not started</t>
        </is>
      </c>
      <c r="E26" s="39" t="n">
        <v>6</v>
      </c>
      <c r="F26" s="39" t="n">
        <v>18</v>
      </c>
      <c r="G26" s="40">
        <f>$C$3+(E26-1)*7</f>
        <v/>
      </c>
      <c r="H26" s="40">
        <f>$C$3+F26*7-1</f>
        <v/>
      </c>
      <c r="I26" s="41" t="inlineStr">
        <is>
          <t>Retires: GOV-003, GOV-004</t>
        </is>
      </c>
      <c r="J26" s="38" t="inlineStr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</row>
    <row r="27" outlineLevel="1" ht="26" customHeight="1">
      <c r="A27" s="15" t="inlineStr"/>
      <c r="B27" s="16" t="inlineStr">
        <is>
          <t xml:space="preserve">    Control matrix with owner, frequency, risk, objective and control type</t>
        </is>
      </c>
      <c r="C27" s="15" t="inlineStr">
        <is>
          <t>Security Officer</t>
        </is>
      </c>
      <c r="D27" s="17" t="inlineStr">
        <is>
          <t>Not started</t>
        </is>
      </c>
      <c r="E27" s="18" t="n">
        <v>5</v>
      </c>
      <c r="F27" s="18" t="n">
        <v>6</v>
      </c>
      <c r="G27" s="19">
        <f>$C$3+(E27-1)*7</f>
        <v/>
      </c>
      <c r="H27" s="19">
        <f>$C$3+F27*7-1</f>
        <v/>
      </c>
      <c r="I27" s="20" t="inlineStr">
        <is>
          <t>CC1.5-03, CC5.1-02, CC5.1-04</t>
        </is>
      </c>
      <c r="J27" s="17" t="inlineStr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</row>
    <row r="28" outlineLevel="1" ht="26" customHeight="1">
      <c r="A28" s="15" t="inlineStr"/>
      <c r="B28" s="16" t="inlineStr">
        <is>
          <t xml:space="preserve">    Compliance calendar wired to the plan of action so a missed date becomes a deficiency</t>
        </is>
      </c>
      <c r="C28" s="15" t="inlineStr">
        <is>
          <t>Security Officer</t>
        </is>
      </c>
      <c r="D28" s="17" t="inlineStr">
        <is>
          <t>Not started</t>
        </is>
      </c>
      <c r="E28" s="18" t="n">
        <v>6</v>
      </c>
      <c r="F28" s="18" t="n">
        <v>7</v>
      </c>
      <c r="G28" s="19">
        <f>$C$3+(E28-1)*7</f>
        <v/>
      </c>
      <c r="H28" s="19">
        <f>$C$3+F28*7-1</f>
        <v/>
      </c>
      <c r="I28" s="20" t="inlineStr">
        <is>
          <t>CC4.2-06, CC5.3-04</t>
        </is>
      </c>
      <c r="J28" s="17" t="inlineStr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</row>
    <row r="29" outlineLevel="1" ht="26" customHeight="1">
      <c r="A29" s="15" t="inlineStr"/>
      <c r="B29" s="16" t="inlineStr">
        <is>
          <t xml:space="preserve">    Monthly cycle — scanning, alert disposition note, finding triage</t>
        </is>
      </c>
      <c r="C29" s="15" t="inlineStr">
        <is>
          <t>Security Officer</t>
        </is>
      </c>
      <c r="D29" s="17" t="inlineStr">
        <is>
          <t>Not started</t>
        </is>
      </c>
      <c r="E29" s="18" t="n">
        <v>7</v>
      </c>
      <c r="F29" s="18" t="n">
        <v>18</v>
      </c>
      <c r="G29" s="19">
        <f>$C$3+(E29-1)*7</f>
        <v/>
      </c>
      <c r="H29" s="19">
        <f>$C$3+F29*7-1</f>
        <v/>
      </c>
      <c r="I29" s="20" t="inlineStr">
        <is>
          <t>CC4.1-03, CC4.1-04, CC7.3-03</t>
        </is>
      </c>
      <c r="J29" s="17" t="inlineStr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</row>
    <row r="30" outlineLevel="1" ht="26" customHeight="1">
      <c r="A30" s="15" t="inlineStr"/>
      <c r="B30" s="16" t="inlineStr">
        <is>
          <t xml:space="preserve">    Quarterly cycle — access reviews, change population review, Committee report</t>
        </is>
      </c>
      <c r="C30" s="15" t="inlineStr">
        <is>
          <t>Security Officer</t>
        </is>
      </c>
      <c r="D30" s="17" t="inlineStr">
        <is>
          <t>Not started</t>
        </is>
      </c>
      <c r="E30" s="18" t="n">
        <v>10</v>
      </c>
      <c r="F30" s="18" t="n">
        <v>18</v>
      </c>
      <c r="G30" s="19">
        <f>$C$3+(E30-1)*7</f>
        <v/>
      </c>
      <c r="H30" s="19">
        <f>$C$3+F30*7-1</f>
        <v/>
      </c>
      <c r="I30" s="20" t="inlineStr">
        <is>
          <t>CC4.1-02, CC4.1-05, CC2.2-05, CC4.2-02</t>
        </is>
      </c>
      <c r="J30" s="17" t="inlineStr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</row>
    <row r="31" outlineLevel="1" ht="26" customHeight="1">
      <c r="A31" s="15" t="inlineStr"/>
      <c r="B31" s="16" t="inlineStr">
        <is>
          <t xml:space="preserve">    First control self-assessment, signed by the CEO</t>
        </is>
      </c>
      <c r="C31" s="15" t="inlineStr">
        <is>
          <t>Security Officer</t>
        </is>
      </c>
      <c r="D31" s="17" t="inlineStr">
        <is>
          <t>Not started</t>
        </is>
      </c>
      <c r="E31" s="18" t="n">
        <v>11</v>
      </c>
      <c r="F31" s="18" t="n">
        <v>13</v>
      </c>
      <c r="G31" s="19">
        <f>$C$3+(E31-1)*7</f>
        <v/>
      </c>
      <c r="H31" s="19">
        <f>$C$3+F31*7-1</f>
        <v/>
      </c>
      <c r="I31" s="20" t="inlineStr">
        <is>
          <t>CC4.1-01, CC1.2-04, CC1.3-05</t>
        </is>
      </c>
      <c r="J31" s="17" t="inlineStr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</row>
    <row r="32" outlineLevel="1" ht="26" customHeight="1">
      <c r="A32" s="15" t="inlineStr"/>
      <c r="B32" s="16" t="inlineStr">
        <is>
          <t xml:space="preserve">    Second monthly and quarterly cycles — the point at which the trail is real</t>
        </is>
      </c>
      <c r="C32" s="15" t="inlineStr">
        <is>
          <t>Security Officer</t>
        </is>
      </c>
      <c r="D32" s="17" t="inlineStr">
        <is>
          <t>Not started</t>
        </is>
      </c>
      <c r="E32" s="18" t="n">
        <v>14</v>
      </c>
      <c r="F32" s="18" t="n">
        <v>18</v>
      </c>
      <c r="G32" s="19">
        <f>$C$3+(E32-1)*7</f>
        <v/>
      </c>
      <c r="H32" s="19">
        <f>$C$3+F32*7-1</f>
        <v/>
      </c>
      <c r="I32" s="20" t="inlineStr">
        <is>
          <t>CC4.2-05, CC7.5-03</t>
        </is>
      </c>
      <c r="J32" s="17" t="inlineStr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</row>
    <row r="33" ht="30" customHeight="1">
      <c r="A33" s="42" t="inlineStr">
        <is>
          <t>WS5</t>
        </is>
      </c>
      <c r="B33" s="43" t="inlineStr">
        <is>
          <t>People and governance — Close the CC1 gaps, which are 21 of the 47 open items and the weakest criterion in the plan.</t>
        </is>
      </c>
      <c r="C33" s="44" t="inlineStr">
        <is>
          <t>CEO</t>
        </is>
      </c>
      <c r="D33" s="45" t="inlineStr">
        <is>
          <t>Not started</t>
        </is>
      </c>
      <c r="E33" s="46" t="n">
        <v>2</v>
      </c>
      <c r="F33" s="46" t="n">
        <v>14</v>
      </c>
      <c r="G33" s="47">
        <f>$C$3+(E33-1)*7</f>
        <v/>
      </c>
      <c r="H33" s="47">
        <f>$C$3+F33*7-1</f>
        <v/>
      </c>
      <c r="I33" s="48" t="inlineStr">
        <is>
          <t>Retires: HR-001, HR-002, GOV-001, GOV-002, BCP-001, IR-001</t>
        </is>
      </c>
      <c r="J33" s="45" t="inlineStr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</row>
    <row r="34" outlineLevel="1" ht="26" customHeight="1">
      <c r="A34" s="15" t="inlineStr"/>
      <c r="B34" s="16" t="inlineStr">
        <is>
          <t xml:space="preserve">    Create security@ and ethics@ routing to the CEO; publish and brief them</t>
        </is>
      </c>
      <c r="C34" s="15" t="inlineStr">
        <is>
          <t>CEO</t>
        </is>
      </c>
      <c r="D34" s="17" t="inlineStr">
        <is>
          <t>Not started</t>
        </is>
      </c>
      <c r="E34" s="18" t="n">
        <v>2</v>
      </c>
      <c r="F34" s="18" t="n">
        <v>2</v>
      </c>
      <c r="G34" s="19">
        <f>$C$3+(E34-1)*7</f>
        <v/>
      </c>
      <c r="H34" s="19">
        <f>$C$3+F34*7-1</f>
        <v/>
      </c>
      <c r="I34" s="20" t="inlineStr">
        <is>
          <t>CC1.1-04, CC2.2-04, CC2.2-06</t>
        </is>
      </c>
      <c r="J34" s="17" t="inlineStr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</row>
    <row r="35" outlineLevel="1" ht="26" customHeight="1">
      <c r="A35" s="15" t="inlineStr"/>
      <c r="B35" s="16" t="inlineStr">
        <is>
          <t xml:space="preserve">    Organisation chart, role descriptions, competency statements</t>
        </is>
      </c>
      <c r="C35" s="15" t="inlineStr">
        <is>
          <t>CEO</t>
        </is>
      </c>
      <c r="D35" s="17" t="inlineStr">
        <is>
          <t>Not started</t>
        </is>
      </c>
      <c r="E35" s="18" t="n">
        <v>3</v>
      </c>
      <c r="F35" s="18" t="n">
        <v>4</v>
      </c>
      <c r="G35" s="19">
        <f>$C$3+(E35-1)*7</f>
        <v/>
      </c>
      <c r="H35" s="19">
        <f>$C$3+F35*7-1</f>
        <v/>
      </c>
      <c r="I35" s="20" t="inlineStr">
        <is>
          <t>CC1.3-01, CC1.4-01</t>
        </is>
      </c>
      <c r="J35" s="17" t="inlineStr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</row>
    <row r="36" outlineLevel="1" ht="26" customHeight="1">
      <c r="A36" s="15" t="inlineStr"/>
      <c r="B36" s="16" t="inlineStr">
        <is>
          <t xml:space="preserve">    STD-SCR-001 screening tiers and the contractor equivalence statement</t>
        </is>
      </c>
      <c r="C36" s="15" t="inlineStr">
        <is>
          <t>CEO</t>
        </is>
      </c>
      <c r="D36" s="17" t="inlineStr">
        <is>
          <t>Not started</t>
        </is>
      </c>
      <c r="E36" s="18" t="n">
        <v>4</v>
      </c>
      <c r="F36" s="18" t="n">
        <v>6</v>
      </c>
      <c r="G36" s="19">
        <f>$C$3+(E36-1)*7</f>
        <v/>
      </c>
      <c r="H36" s="19">
        <f>$C$3+F36*7-1</f>
        <v/>
      </c>
      <c r="I36" s="20" t="inlineStr">
        <is>
          <t>CC1.1-06, CC1.4-06</t>
        </is>
      </c>
      <c r="J36" s="17" t="inlineStr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</row>
    <row r="37" outlineLevel="1" ht="26" customHeight="1">
      <c r="A37" s="15" t="inlineStr"/>
      <c r="B37" s="16" t="inlineStr">
        <is>
          <t xml:space="preserve">    Governance Decisions Log in use; delegations and acceptances recorded</t>
        </is>
      </c>
      <c r="C37" s="15" t="inlineStr">
        <is>
          <t>CEO</t>
        </is>
      </c>
      <c r="D37" s="17" t="inlineStr">
        <is>
          <t>Not started</t>
        </is>
      </c>
      <c r="E37" s="18" t="n">
        <v>6</v>
      </c>
      <c r="F37" s="18" t="n">
        <v>8</v>
      </c>
      <c r="G37" s="19">
        <f>$C$3+(E37-1)*7</f>
        <v/>
      </c>
      <c r="H37" s="19">
        <f>$C$3+F37*7-1</f>
        <v/>
      </c>
      <c r="I37" s="20" t="inlineStr">
        <is>
          <t>CC1.2-02, CC1.3-04, CC3.2-06</t>
        </is>
      </c>
      <c r="J37" s="17" t="inlineStr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</row>
    <row r="38" outlineLevel="1" ht="26" customHeight="1">
      <c r="A38" s="15" t="inlineStr"/>
      <c r="B38" s="16" t="inlineStr">
        <is>
          <t xml:space="preserve">    Annual review form with security responsibilities; conduct process split defined</t>
        </is>
      </c>
      <c r="C38" s="15" t="inlineStr">
        <is>
          <t>CEO</t>
        </is>
      </c>
      <c r="D38" s="17" t="inlineStr">
        <is>
          <t>Not started</t>
        </is>
      </c>
      <c r="E38" s="18" t="n">
        <v>8</v>
      </c>
      <c r="F38" s="18" t="n">
        <v>10</v>
      </c>
      <c r="G38" s="19">
        <f>$C$3+(E38-1)*7</f>
        <v/>
      </c>
      <c r="H38" s="19">
        <f>$C$3+F38*7-1</f>
        <v/>
      </c>
      <c r="I38" s="20" t="inlineStr">
        <is>
          <t>CC1.5-02, CC1.1-05, CC1.5-05</t>
        </is>
      </c>
      <c r="J38" s="17" t="inlineStr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</row>
    <row r="39" outlineLevel="1" ht="26" customHeight="1">
      <c r="A39" s="15" t="inlineStr"/>
      <c r="B39" s="16" t="inlineStr">
        <is>
          <t xml:space="preserve">    Annual Control Environment Assessment drafted and signed — independence, segregation, override</t>
        </is>
      </c>
      <c r="C39" s="15" t="inlineStr">
        <is>
          <t>CEO</t>
        </is>
      </c>
      <c r="D39" s="17" t="inlineStr">
        <is>
          <t>Not started</t>
        </is>
      </c>
      <c r="E39" s="18" t="n">
        <v>11</v>
      </c>
      <c r="F39" s="18" t="n">
        <v>14</v>
      </c>
      <c r="G39" s="19">
        <f>$C$3+(E39-1)*7</f>
        <v/>
      </c>
      <c r="H39" s="19">
        <f>$C$3+F39*7-1</f>
        <v/>
      </c>
      <c r="I39" s="20" t="inlineStr">
        <is>
          <t>CC1.2-04, CC1.2-06, CC3.3-03</t>
        </is>
      </c>
      <c r="J39" s="17" t="inlineStr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</row>
    <row r="40" ht="30" customHeight="1">
      <c r="A40" s="49" t="inlineStr">
        <is>
          <t>WS6</t>
        </is>
      </c>
      <c r="B40" s="50" t="inlineStr">
        <is>
          <t>Customer-facing commitments — Make the six commitments in POL-ISP-001 §9 real before a customer relies on one.</t>
        </is>
      </c>
      <c r="C40" s="51" t="inlineStr">
        <is>
          <t>CEO</t>
        </is>
      </c>
      <c r="D40" s="52" t="inlineStr">
        <is>
          <t>Not started</t>
        </is>
      </c>
      <c r="E40" s="53" t="n">
        <v>2</v>
      </c>
      <c r="F40" s="53" t="n">
        <v>10</v>
      </c>
      <c r="G40" s="54">
        <f>$C$3+(E40-1)*7</f>
        <v/>
      </c>
      <c r="H40" s="54">
        <f>$C$3+F40*7-1</f>
        <v/>
      </c>
      <c r="I40" s="55" t="inlineStr">
        <is>
          <t>Retires: CMP-001, CMP-002, CMP-003, TPR-001</t>
        </is>
      </c>
      <c r="J40" s="52" t="inlineStr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</row>
    <row r="41" outlineLevel="1" ht="26" customHeight="1">
      <c r="A41" s="15" t="inlineStr"/>
      <c r="B41" s="16" t="inlineStr">
        <is>
          <t xml:space="preserve">    Establish whether POL-PRIV-001 exists; bring it under control or remove the references</t>
        </is>
      </c>
      <c r="C41" s="15" t="inlineStr">
        <is>
          <t>CEO</t>
        </is>
      </c>
      <c r="D41" s="17" t="inlineStr">
        <is>
          <t>Not started</t>
        </is>
      </c>
      <c r="E41" s="18" t="n">
        <v>2</v>
      </c>
      <c r="F41" s="18" t="n">
        <v>2</v>
      </c>
      <c r="G41" s="19">
        <f>$C$3+(E41-1)*7</f>
        <v/>
      </c>
      <c r="H41" s="19">
        <f>$C$3+F41*7-1</f>
        <v/>
      </c>
      <c r="I41" s="20" t="inlineStr">
        <is>
          <t>CC2.3-03, CC2.3-04</t>
        </is>
      </c>
      <c r="J41" s="17" t="inlineStr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</row>
    <row r="42" outlineLevel="1" ht="26" customHeight="1">
      <c r="A42" s="15" t="inlineStr"/>
      <c r="B42" s="16" t="inlineStr">
        <is>
          <t xml:space="preserve">    Publish the security contact externally with security.txt</t>
        </is>
      </c>
      <c r="C42" s="15" t="inlineStr">
        <is>
          <t>CEO</t>
        </is>
      </c>
      <c r="D42" s="17" t="inlineStr">
        <is>
          <t>Not started</t>
        </is>
      </c>
      <c r="E42" s="18" t="n">
        <v>2</v>
      </c>
      <c r="F42" s="18" t="n">
        <v>3</v>
      </c>
      <c r="G42" s="19">
        <f>$C$3+(E42-1)*7</f>
        <v/>
      </c>
      <c r="H42" s="19">
        <f>$C$3+F42*7-1</f>
        <v/>
      </c>
      <c r="I42" s="20" t="inlineStr">
        <is>
          <t>CC2.3-02</t>
        </is>
      </c>
      <c r="J42" s="17" t="inlineStr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</row>
    <row r="43" outlineLevel="1" ht="26" customHeight="1">
      <c r="A43" s="15" t="inlineStr"/>
      <c r="B43" s="16" t="inlineStr">
        <is>
          <t xml:space="preserve">    Customer commitments register — every promise and the control that delivers it</t>
        </is>
      </c>
      <c r="C43" s="15" t="inlineStr">
        <is>
          <t>CEO</t>
        </is>
      </c>
      <c r="D43" s="17" t="inlineStr">
        <is>
          <t>Not started</t>
        </is>
      </c>
      <c r="E43" s="18" t="n">
        <v>3</v>
      </c>
      <c r="F43" s="18" t="n">
        <v>5</v>
      </c>
      <c r="G43" s="19">
        <f>$C$3+(E43-1)*7</f>
        <v/>
      </c>
      <c r="H43" s="19">
        <f>$C$3+F43*7-1</f>
        <v/>
      </c>
      <c r="I43" s="20" t="inlineStr">
        <is>
          <t>CC2.3-01</t>
        </is>
      </c>
      <c r="J43" s="17" t="inlineStr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</row>
    <row r="44" outlineLevel="1" ht="26" customHeight="1">
      <c r="A44" s="15" t="inlineStr"/>
      <c r="B44" s="16" t="inlineStr">
        <is>
          <t xml:space="preserve">    Sub-processor list derived from the vendor inventory, with a notification step</t>
        </is>
      </c>
      <c r="C44" s="15" t="inlineStr">
        <is>
          <t>CEO</t>
        </is>
      </c>
      <c r="D44" s="17" t="inlineStr">
        <is>
          <t>Not started</t>
        </is>
      </c>
      <c r="E44" s="18" t="n">
        <v>4</v>
      </c>
      <c r="F44" s="18" t="n">
        <v>6</v>
      </c>
      <c r="G44" s="19">
        <f>$C$3+(E44-1)*7</f>
        <v/>
      </c>
      <c r="H44" s="19">
        <f>$C$3+F44*7-1</f>
        <v/>
      </c>
      <c r="I44" s="20" t="inlineStr">
        <is>
          <t>CC2.3-03, CC9.2-01</t>
        </is>
      </c>
      <c r="J44" s="17" t="inlineStr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</row>
    <row r="45" outlineLevel="1" ht="26" customHeight="1">
      <c r="A45" s="15" t="inlineStr"/>
      <c r="B45" s="16" t="inlineStr">
        <is>
          <t xml:space="preserve">    Security Officer review gate at engagement intake before any commitment is given</t>
        </is>
      </c>
      <c r="C45" s="15" t="inlineStr">
        <is>
          <t>CEO</t>
        </is>
      </c>
      <c r="D45" s="17" t="inlineStr">
        <is>
          <t>Not started</t>
        </is>
      </c>
      <c r="E45" s="18" t="n">
        <v>5</v>
      </c>
      <c r="F45" s="18" t="n">
        <v>7</v>
      </c>
      <c r="G45" s="19">
        <f>$C$3+(E45-1)*7</f>
        <v/>
      </c>
      <c r="H45" s="19">
        <f>$C$3+F45*7-1</f>
        <v/>
      </c>
      <c r="I45" s="20" t="inlineStr">
        <is>
          <t>CC2.3-05</t>
        </is>
      </c>
      <c r="J45" s="17" t="inlineStr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</row>
    <row r="46" outlineLevel="1" ht="26" customHeight="1">
      <c r="A46" s="15" t="inlineStr"/>
      <c r="B46" s="16" t="inlineStr">
        <is>
          <t xml:space="preserve">    Complementary user entity controls stated; AWS assurance review performed</t>
        </is>
      </c>
      <c r="C46" s="15" t="inlineStr">
        <is>
          <t>CEO</t>
        </is>
      </c>
      <c r="D46" s="17" t="inlineStr">
        <is>
          <t>Not started</t>
        </is>
      </c>
      <c r="E46" s="18" t="n">
        <v>7</v>
      </c>
      <c r="F46" s="18" t="n">
        <v>10</v>
      </c>
      <c r="G46" s="19">
        <f>$C$3+(E46-1)*7</f>
        <v/>
      </c>
      <c r="H46" s="19">
        <f>$C$3+F46*7-1</f>
        <v/>
      </c>
      <c r="I46" s="20" t="inlineStr">
        <is>
          <t>CC2.3-06, CC4.1-07, CC9.2-03</t>
        </is>
      </c>
      <c r="J46" s="17" t="inlineStr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</row>
    <row r="47" ht="30" customHeight="1">
      <c r="A47" s="56" t="inlineStr">
        <is>
          <t>WS7</t>
        </is>
      </c>
      <c r="B47" s="57" t="inlineStr">
        <is>
          <t>Audit and assurance — Get to a Type I opinion, then run a clean observation window to a Type II.</t>
        </is>
      </c>
      <c r="C47" s="58" t="inlineStr">
        <is>
          <t>CEO</t>
        </is>
      </c>
      <c r="D47" s="59" t="inlineStr">
        <is>
          <t>Not started</t>
        </is>
      </c>
      <c r="E47" s="60" t="n">
        <v>13</v>
      </c>
      <c r="F47" s="60" t="n">
        <v>52</v>
      </c>
      <c r="G47" s="61">
        <f>$C$3+(E47-1)*7</f>
        <v/>
      </c>
      <c r="H47" s="61">
        <f>$C$3+F47*7-1</f>
        <v/>
      </c>
      <c r="I47" s="62" t="inlineStr">
        <is>
          <t>Retires: GOV-004</t>
        </is>
      </c>
      <c r="J47" s="59" t="inlineStr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</row>
    <row r="48" outlineLevel="1" ht="26" customHeight="1">
      <c r="A48" s="15" t="inlineStr"/>
      <c r="B48" s="16" t="inlineStr">
        <is>
          <t xml:space="preserve">    Readiness review — every control at 2 or above, gaps closed or accepted in writing</t>
        </is>
      </c>
      <c r="C48" s="15" t="inlineStr">
        <is>
          <t>CEO</t>
        </is>
      </c>
      <c r="D48" s="17" t="inlineStr">
        <is>
          <t>Not started</t>
        </is>
      </c>
      <c r="E48" s="18" t="n">
        <v>12</v>
      </c>
      <c r="F48" s="18" t="n">
        <v>14</v>
      </c>
      <c r="G48" s="19">
        <f>$C$3+(E48-1)*7</f>
        <v/>
      </c>
      <c r="H48" s="19">
        <f>$C$3+F48*7-1</f>
        <v/>
      </c>
      <c r="I48" s="20" t="inlineStr">
        <is>
          <t>—</t>
        </is>
      </c>
      <c r="J48" s="17" t="inlineStr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</row>
    <row r="49" outlineLevel="1" ht="26" customHeight="1">
      <c r="A49" s="15" t="inlineStr"/>
      <c r="B49" s="16" t="inlineStr">
        <is>
          <t xml:space="preserve">    Select the service auditor; agree scope, system description and carve-out</t>
        </is>
      </c>
      <c r="C49" s="15" t="inlineStr">
        <is>
          <t>CEO</t>
        </is>
      </c>
      <c r="D49" s="17" t="inlineStr">
        <is>
          <t>Not started</t>
        </is>
      </c>
      <c r="E49" s="18" t="n">
        <v>13</v>
      </c>
      <c r="F49" s="18" t="n">
        <v>15</v>
      </c>
      <c r="G49" s="19">
        <f>$C$3+(E49-1)*7</f>
        <v/>
      </c>
      <c r="H49" s="19">
        <f>$C$3+F49*7-1</f>
        <v/>
      </c>
      <c r="I49" s="20" t="inlineStr">
        <is>
          <t>—</t>
        </is>
      </c>
      <c r="J49" s="17" t="inlineStr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</row>
    <row r="50" outlineLevel="1" ht="26" customHeight="1">
      <c r="A50" s="15" t="inlineStr"/>
      <c r="B50" s="16" t="inlineStr">
        <is>
          <t xml:space="preserve">    Independent penetration test, after the free scanners have cleared the easy findings</t>
        </is>
      </c>
      <c r="C50" s="15" t="inlineStr">
        <is>
          <t>CEO</t>
        </is>
      </c>
      <c r="D50" s="17" t="inlineStr">
        <is>
          <t>Not started</t>
        </is>
      </c>
      <c r="E50" s="18" t="n">
        <v>15</v>
      </c>
      <c r="F50" s="18" t="n">
        <v>18</v>
      </c>
      <c r="G50" s="19">
        <f>$C$3+(E50-1)*7</f>
        <v/>
      </c>
      <c r="H50" s="19">
        <f>$C$3+F50*7-1</f>
        <v/>
      </c>
      <c r="I50" s="20" t="inlineStr">
        <is>
          <t>CC4.1-03</t>
        </is>
      </c>
      <c r="J50" s="17" t="inlineStr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</row>
    <row r="51" outlineLevel="1" ht="26" customHeight="1">
      <c r="A51" s="15" t="inlineStr"/>
      <c r="B51" s="16" t="inlineStr">
        <is>
          <t xml:space="preserve">    Type I fieldwork and management assertion</t>
        </is>
      </c>
      <c r="C51" s="15" t="inlineStr">
        <is>
          <t>CEO</t>
        </is>
      </c>
      <c r="D51" s="17" t="inlineStr">
        <is>
          <t>Not started</t>
        </is>
      </c>
      <c r="E51" s="18" t="n">
        <v>18</v>
      </c>
      <c r="F51" s="18" t="n">
        <v>21</v>
      </c>
      <c r="G51" s="19">
        <f>$C$3+(E51-1)*7</f>
        <v/>
      </c>
      <c r="H51" s="19">
        <f>$C$3+F51*7-1</f>
        <v/>
      </c>
      <c r="I51" s="20" t="inlineStr">
        <is>
          <t>—</t>
        </is>
      </c>
      <c r="J51" s="17" t="inlineStr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</row>
    <row r="52" outlineLevel="1" ht="26" customHeight="1">
      <c r="A52" s="15" t="inlineStr"/>
      <c r="B52" s="16" t="inlineStr">
        <is>
          <t xml:space="preserve">    Observation window opens — a minimum of six months</t>
        </is>
      </c>
      <c r="C52" s="15" t="inlineStr">
        <is>
          <t>CEO</t>
        </is>
      </c>
      <c r="D52" s="17" t="inlineStr">
        <is>
          <t>Not started</t>
        </is>
      </c>
      <c r="E52" s="18" t="n">
        <v>22</v>
      </c>
      <c r="F52" s="18" t="n">
        <v>22</v>
      </c>
      <c r="G52" s="19">
        <f>$C$3+(E52-1)*7</f>
        <v/>
      </c>
      <c r="H52" s="19">
        <f>$C$3+F52*7-1</f>
        <v/>
      </c>
      <c r="I52" s="20" t="inlineStr">
        <is>
          <t>—</t>
        </is>
      </c>
      <c r="J52" s="17" t="inlineStr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</row>
    <row r="53" outlineLevel="1" ht="26" customHeight="1">
      <c r="A53" s="15" t="inlineStr"/>
      <c r="B53" s="16" t="inlineStr">
        <is>
          <t xml:space="preserve">    Type II fieldwork against the window</t>
        </is>
      </c>
      <c r="C53" s="15" t="inlineStr">
        <is>
          <t>CEO</t>
        </is>
      </c>
      <c r="D53" s="17" t="inlineStr">
        <is>
          <t>Not started</t>
        </is>
      </c>
      <c r="E53" s="18" t="n">
        <v>48</v>
      </c>
      <c r="F53" s="18" t="n">
        <v>52</v>
      </c>
      <c r="G53" s="19">
        <f>$C$3+(E53-1)*7</f>
        <v/>
      </c>
      <c r="H53" s="19">
        <f>$C$3+F53*7-1</f>
        <v/>
      </c>
      <c r="I53" s="20" t="inlineStr">
        <is>
          <t>—</t>
        </is>
      </c>
      <c r="J53" s="17" t="inlineStr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</row>
    <row r="55">
      <c r="A55" s="63" t="inlineStr">
        <is>
          <t>MILESTONES</t>
        </is>
      </c>
      <c r="B55" s="64" t="inlineStr">
        <is>
          <t>A milestone is a condition, not a date. If the gate is not met the date moves.</t>
        </is>
      </c>
    </row>
    <row r="56" ht="24" customHeight="1">
      <c r="A56" s="65" t="inlineStr">
        <is>
          <t>M1</t>
        </is>
      </c>
      <c r="B56" s="66" t="inlineStr">
        <is>
          <t xml:space="preserve">    Quick wins closed</t>
        </is>
      </c>
      <c r="C56" s="15" t="inlineStr"/>
      <c r="D56" s="15" t="inlineStr"/>
      <c r="E56" s="67" t="n">
        <v>2</v>
      </c>
      <c r="F56" s="67" t="n">
        <v>2</v>
      </c>
      <c r="G56" s="19">
        <f>$C$3+(E56-1)*7</f>
        <v/>
      </c>
      <c r="H56" s="15" t="inlineStr"/>
      <c r="I56" s="20" t="inlineStr">
        <is>
          <t>gitleaks live, both mailboxes routing, POL-PRIV-001 question answered</t>
        </is>
      </c>
      <c r="J56" s="15" t="inlineStr"/>
      <c r="K56" s="15" t="n"/>
      <c r="L56" s="68" t="inlineStr">
        <is>
          <t>◆</t>
        </is>
      </c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5" t="n"/>
      <c r="BG56" s="15" t="n"/>
      <c r="BH56" s="15" t="n"/>
      <c r="BI56" s="15" t="n"/>
      <c r="BJ56" s="15" t="n"/>
    </row>
    <row r="57" ht="24" customHeight="1">
      <c r="A57" s="65" t="inlineStr">
        <is>
          <t>M2</t>
        </is>
      </c>
      <c r="B57" s="66" t="inlineStr">
        <is>
          <t xml:space="preserve">    Library reissued at v1.1</t>
        </is>
      </c>
      <c r="C57" s="15" t="inlineStr"/>
      <c r="D57" s="15" t="inlineStr"/>
      <c r="E57" s="67" t="n">
        <v>6</v>
      </c>
      <c r="F57" s="67" t="n">
        <v>6</v>
      </c>
      <c r="G57" s="19">
        <f>$C$3+(E57-1)*7</f>
        <v/>
      </c>
      <c r="H57" s="15" t="inlineStr"/>
      <c r="I57" s="20" t="inlineStr">
        <is>
          <t>All 42 edits made, 21 tables of contents refreshed, seven cross-references corrected</t>
        </is>
      </c>
      <c r="J57" s="15" t="inlineStr"/>
      <c r="K57" s="15" t="n"/>
      <c r="L57" s="15" t="n"/>
      <c r="M57" s="15" t="n"/>
      <c r="N57" s="15" t="n"/>
      <c r="O57" s="15" t="n"/>
      <c r="P57" s="68" t="inlineStr">
        <is>
          <t>◆</t>
        </is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  <c r="AY57" s="15" t="n"/>
      <c r="AZ57" s="15" t="n"/>
      <c r="BA57" s="15" t="n"/>
      <c r="BB57" s="15" t="n"/>
      <c r="BC57" s="15" t="n"/>
      <c r="BD57" s="15" t="n"/>
      <c r="BE57" s="15" t="n"/>
      <c r="BF57" s="15" t="n"/>
      <c r="BG57" s="15" t="n"/>
      <c r="BH57" s="15" t="n"/>
      <c r="BI57" s="15" t="n"/>
      <c r="BJ57" s="15" t="n"/>
    </row>
    <row r="58" ht="24" customHeight="1">
      <c r="A58" s="65" t="inlineStr">
        <is>
          <t>M3</t>
        </is>
      </c>
      <c r="B58" s="66" t="inlineStr">
        <is>
          <t xml:space="preserve">    Tooling live</t>
        </is>
      </c>
      <c r="C58" s="15" t="inlineStr"/>
      <c r="D58" s="15" t="inlineStr"/>
      <c r="E58" s="67" t="n">
        <v>9</v>
      </c>
      <c r="F58" s="67" t="n">
        <v>9</v>
      </c>
      <c r="G58" s="19">
        <f>$C$3+(E58-1)*7</f>
        <v/>
      </c>
      <c r="H58" s="15" t="inlineStr"/>
      <c r="I58" s="20" t="inlineStr">
        <is>
          <t>Logging, GuardDuty, Kandji, GitHub Enterprise, scanners — evidence begins accumulating</t>
        </is>
      </c>
      <c r="J58" s="15" t="inlineStr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68" t="inlineStr">
        <is>
          <t>◆</t>
        </is>
      </c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5" t="n"/>
      <c r="BF58" s="15" t="n"/>
      <c r="BG58" s="15" t="n"/>
      <c r="BH58" s="15" t="n"/>
      <c r="BI58" s="15" t="n"/>
      <c r="BJ58" s="15" t="n"/>
    </row>
    <row r="59" ht="24" customHeight="1">
      <c r="A59" s="65" t="inlineStr">
        <is>
          <t>M4</t>
        </is>
      </c>
      <c r="B59" s="66" t="inlineStr">
        <is>
          <t xml:space="preserve">    First assessment signed</t>
        </is>
      </c>
      <c r="C59" s="15" t="inlineStr"/>
      <c r="D59" s="15" t="inlineStr"/>
      <c r="E59" s="67" t="n">
        <v>13</v>
      </c>
      <c r="F59" s="67" t="n">
        <v>13</v>
      </c>
      <c r="G59" s="19">
        <f>$C$3+(E59-1)*7</f>
        <v/>
      </c>
      <c r="H59" s="15" t="inlineStr"/>
      <c r="I59" s="20" t="inlineStr">
        <is>
          <t>Risk assessment and control self-assessment complete, CEO signature on both</t>
        </is>
      </c>
      <c r="J59" s="15" t="inlineStr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68" t="inlineStr">
        <is>
          <t>◆</t>
        </is>
      </c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  <c r="AY59" s="15" t="n"/>
      <c r="AZ59" s="15" t="n"/>
      <c r="BA59" s="15" t="n"/>
      <c r="BB59" s="15" t="n"/>
      <c r="BC59" s="15" t="n"/>
      <c r="BD59" s="15" t="n"/>
      <c r="BE59" s="15" t="n"/>
      <c r="BF59" s="15" t="n"/>
      <c r="BG59" s="15" t="n"/>
      <c r="BH59" s="15" t="n"/>
      <c r="BI59" s="15" t="n"/>
      <c r="BJ59" s="15" t="n"/>
    </row>
    <row r="60" ht="24" customHeight="1">
      <c r="A60" s="65" t="inlineStr">
        <is>
          <t>M5</t>
        </is>
      </c>
      <c r="B60" s="66" t="inlineStr">
        <is>
          <t xml:space="preserve">    Every control at 2 or above</t>
        </is>
      </c>
      <c r="C60" s="15" t="inlineStr"/>
      <c r="D60" s="15" t="inlineStr"/>
      <c r="E60" s="67" t="n">
        <v>16</v>
      </c>
      <c r="F60" s="67" t="n">
        <v>16</v>
      </c>
      <c r="G60" s="19">
        <f>$C$3+(E60-1)*7</f>
        <v/>
      </c>
      <c r="H60" s="15" t="inlineStr"/>
      <c r="I60" s="20" t="inlineStr">
        <is>
          <t>The Type I bar. Anything still at 0 or 1 is accepted in writing or it blocks</t>
        </is>
      </c>
      <c r="J60" s="15" t="inlineStr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68" t="inlineStr">
        <is>
          <t>◆</t>
        </is>
      </c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  <c r="AY60" s="15" t="n"/>
      <c r="AZ60" s="15" t="n"/>
      <c r="BA60" s="15" t="n"/>
      <c r="BB60" s="15" t="n"/>
      <c r="BC60" s="15" t="n"/>
      <c r="BD60" s="15" t="n"/>
      <c r="BE60" s="15" t="n"/>
      <c r="BF60" s="15" t="n"/>
      <c r="BG60" s="15" t="n"/>
      <c r="BH60" s="15" t="n"/>
      <c r="BI60" s="15" t="n"/>
      <c r="BJ60" s="15" t="n"/>
    </row>
    <row r="61" ht="24" customHeight="1">
      <c r="A61" s="65" t="inlineStr">
        <is>
          <t>M6</t>
        </is>
      </c>
      <c r="B61" s="66" t="inlineStr">
        <is>
          <t xml:space="preserve">    Type I opinion</t>
        </is>
      </c>
      <c r="C61" s="15" t="inlineStr"/>
      <c r="D61" s="15" t="inlineStr"/>
      <c r="E61" s="67" t="n">
        <v>21</v>
      </c>
      <c r="F61" s="67" t="n">
        <v>21</v>
      </c>
      <c r="G61" s="19">
        <f>$C$3+(E61-1)*7</f>
        <v/>
      </c>
      <c r="H61" s="15" t="inlineStr"/>
      <c r="I61" s="20" t="inlineStr">
        <is>
          <t>Design tested and reported</t>
        </is>
      </c>
      <c r="J61" s="15" t="inlineStr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68" t="inlineStr">
        <is>
          <t>◆</t>
        </is>
      </c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  <c r="AY61" s="15" t="n"/>
      <c r="AZ61" s="15" t="n"/>
      <c r="BA61" s="15" t="n"/>
      <c r="BB61" s="15" t="n"/>
      <c r="BC61" s="15" t="n"/>
      <c r="BD61" s="15" t="n"/>
      <c r="BE61" s="15" t="n"/>
      <c r="BF61" s="15" t="n"/>
      <c r="BG61" s="15" t="n"/>
      <c r="BH61" s="15" t="n"/>
      <c r="BI61" s="15" t="n"/>
      <c r="BJ61" s="15" t="n"/>
    </row>
    <row r="62" ht="24" customHeight="1">
      <c r="A62" s="65" t="inlineStr">
        <is>
          <t>M7</t>
        </is>
      </c>
      <c r="B62" s="66" t="inlineStr">
        <is>
          <t xml:space="preserve">    Observation window opens</t>
        </is>
      </c>
      <c r="C62" s="15" t="inlineStr"/>
      <c r="D62" s="15" t="inlineStr"/>
      <c r="E62" s="67" t="n">
        <v>22</v>
      </c>
      <c r="F62" s="67" t="n">
        <v>22</v>
      </c>
      <c r="G62" s="19">
        <f>$C$3+(E62-1)*7</f>
        <v/>
      </c>
      <c r="H62" s="15" t="inlineStr"/>
      <c r="I62" s="20" t="inlineStr">
        <is>
          <t>Six months minimum. Cadence discipline from here decides the Type II</t>
        </is>
      </c>
      <c r="J62" s="15" t="inlineStr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68" t="inlineStr">
        <is>
          <t>◆</t>
        </is>
      </c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  <c r="AY62" s="15" t="n"/>
      <c r="AZ62" s="15" t="n"/>
      <c r="BA62" s="15" t="n"/>
      <c r="BB62" s="15" t="n"/>
      <c r="BC62" s="15" t="n"/>
      <c r="BD62" s="15" t="n"/>
      <c r="BE62" s="15" t="n"/>
      <c r="BF62" s="15" t="n"/>
      <c r="BG62" s="15" t="n"/>
      <c r="BH62" s="15" t="n"/>
      <c r="BI62" s="15" t="n"/>
      <c r="BJ62" s="15" t="n"/>
    </row>
    <row r="63" ht="24" customHeight="1">
      <c r="A63" s="65" t="inlineStr">
        <is>
          <t>M8</t>
        </is>
      </c>
      <c r="B63" s="66" t="inlineStr">
        <is>
          <t xml:space="preserve">    Window closes</t>
        </is>
      </c>
      <c r="C63" s="15" t="inlineStr"/>
      <c r="D63" s="15" t="inlineStr"/>
      <c r="E63" s="67" t="n">
        <v>48</v>
      </c>
      <c r="F63" s="67" t="n">
        <v>48</v>
      </c>
      <c r="G63" s="19">
        <f>$C$3+(E63-1)*7</f>
        <v/>
      </c>
      <c r="H63" s="15" t="inlineStr"/>
      <c r="I63" s="20" t="inlineStr">
        <is>
          <t>Two quarterly cycles and six monthly cycles evidenced</t>
        </is>
      </c>
      <c r="J63" s="15" t="inlineStr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  <c r="AY63" s="15" t="n"/>
      <c r="AZ63" s="15" t="n"/>
      <c r="BA63" s="15" t="n"/>
      <c r="BB63" s="15" t="n"/>
      <c r="BC63" s="15" t="n"/>
      <c r="BD63" s="15" t="n"/>
      <c r="BE63" s="15" t="n"/>
      <c r="BF63" s="68" t="inlineStr">
        <is>
          <t>◆</t>
        </is>
      </c>
      <c r="BG63" s="15" t="n"/>
      <c r="BH63" s="15" t="n"/>
      <c r="BI63" s="15" t="n"/>
      <c r="BJ63" s="15" t="n"/>
    </row>
    <row r="64" ht="24" customHeight="1">
      <c r="A64" s="65" t="inlineStr">
        <is>
          <t>M9</t>
        </is>
      </c>
      <c r="B64" s="66" t="inlineStr">
        <is>
          <t xml:space="preserve">    Type II fieldwork</t>
        </is>
      </c>
      <c r="C64" s="15" t="inlineStr"/>
      <c r="D64" s="15" t="inlineStr"/>
      <c r="E64" s="67" t="n">
        <v>52</v>
      </c>
      <c r="F64" s="67" t="n">
        <v>52</v>
      </c>
      <c r="G64" s="19">
        <f>$C$3+(E64-1)*7</f>
        <v/>
      </c>
      <c r="H64" s="15" t="inlineStr"/>
      <c r="I64" s="20" t="inlineStr">
        <is>
          <t>Operating effectiveness tested across the window</t>
        </is>
      </c>
      <c r="J64" s="15" t="inlineStr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5" t="n"/>
      <c r="BF64" s="15" t="n"/>
      <c r="BG64" s="15" t="n"/>
      <c r="BH64" s="15" t="n"/>
      <c r="BI64" s="15" t="n"/>
      <c r="BJ64" s="68" t="inlineStr">
        <is>
          <t>◆</t>
        </is>
      </c>
    </row>
    <row r="66">
      <c r="A66" s="63" t="inlineStr">
        <is>
          <t>BAR COLOURS</t>
        </is>
      </c>
      <c r="B66" s="64" t="inlineStr">
        <is>
          <t>Set Status in column D and the bar recolours automatically.</t>
        </is>
      </c>
      <c r="K66" s="11" t="n"/>
      <c r="L66" s="69" t="inlineStr">
        <is>
          <t>Not started</t>
        </is>
      </c>
      <c r="N66" s="52" t="n"/>
      <c r="O66" s="69" t="inlineStr">
        <is>
          <t>In progress</t>
        </is>
      </c>
      <c r="Q66" s="70" t="n"/>
      <c r="R66" s="69" t="inlineStr">
        <is>
          <t>Blocked</t>
        </is>
      </c>
      <c r="T66" s="31" t="n"/>
      <c r="U66" s="69" t="inlineStr">
        <is>
          <t>Done</t>
        </is>
      </c>
    </row>
  </sheetData>
  <conditionalFormatting sqref="K5:BJ53">
    <cfRule type="expression" priority="1" dxfId="0" stopIfTrue="1">
      <formula>AND(K$4&gt;=$E5,K$4&lt;=$F5,$D5="Done")</formula>
    </cfRule>
    <cfRule type="expression" priority="2" dxfId="1" stopIfTrue="1">
      <formula>AND(K$4&gt;=$E5,K$4&lt;=$F5,$D5="Blocked")</formula>
    </cfRule>
    <cfRule type="expression" priority="3" dxfId="2" stopIfTrue="1">
      <formula>AND(K$4&gt;=$E5,K$4&lt;=$F5,$D5="In progress")</formula>
    </cfRule>
    <cfRule type="expression" priority="4" dxfId="3">
      <formula>AND(K$4&gt;=$E5,K$4&lt;=$F5)</formula>
    </cfRule>
  </conditionalFormatting>
  <dataValidations count="1">
    <dataValidation sqref="D5:D53" showDropDown="0" showInputMessage="0" showErrorMessage="0" allowBlank="1" promptTitle="Status" prompt="Set the status. The bar to the right recolours: blue not started, amber in progress, rose blocked, green done." type="list">
      <formula1>"Not started,In progress,Blocked,Done"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82" customWidth="1" min="4" max="4"/>
  </cols>
  <sheetData>
    <row r="1">
      <c r="A1" s="71" t="inlineStr">
        <is>
          <t>Milestones and their gates</t>
        </is>
      </c>
    </row>
    <row r="2" ht="26" customHeight="1">
      <c r="A2" s="2" t="inlineStr">
        <is>
          <t>A milestone is a condition, not a date. If the gate is not met, the date moves rather than the standard.</t>
        </is>
      </c>
    </row>
    <row r="4" ht="28" customHeight="1">
      <c r="A4" s="72" t="inlineStr">
        <is>
          <t>ID</t>
        </is>
      </c>
      <c r="B4" s="72" t="inlineStr">
        <is>
          <t>Week</t>
        </is>
      </c>
      <c r="C4" s="72" t="inlineStr">
        <is>
          <t>Milestone</t>
        </is>
      </c>
      <c r="D4" s="72" t="inlineStr">
        <is>
          <t>Gate — what must be true</t>
        </is>
      </c>
    </row>
    <row r="5" ht="34" customHeight="1">
      <c r="A5" s="73" t="inlineStr">
        <is>
          <t>M1</t>
        </is>
      </c>
      <c r="B5" s="73" t="n">
        <v>2</v>
      </c>
      <c r="C5" s="73" t="inlineStr">
        <is>
          <t>Quick wins closed</t>
        </is>
      </c>
      <c r="D5" s="73" t="inlineStr">
        <is>
          <t>gitleaks live, both mailboxes routing, POL-PRIV-001 question answered</t>
        </is>
      </c>
    </row>
    <row r="6" ht="34" customHeight="1">
      <c r="A6" s="73" t="inlineStr">
        <is>
          <t>M2</t>
        </is>
      </c>
      <c r="B6" s="73" t="n">
        <v>6</v>
      </c>
      <c r="C6" s="73" t="inlineStr">
        <is>
          <t>Library reissued at v1.1</t>
        </is>
      </c>
      <c r="D6" s="73" t="inlineStr">
        <is>
          <t>All 42 edits made, 21 tables of contents refreshed, seven cross-references corrected</t>
        </is>
      </c>
    </row>
    <row r="7" ht="34" customHeight="1">
      <c r="A7" s="73" t="inlineStr">
        <is>
          <t>M3</t>
        </is>
      </c>
      <c r="B7" s="73" t="n">
        <v>9</v>
      </c>
      <c r="C7" s="73" t="inlineStr">
        <is>
          <t>Tooling live</t>
        </is>
      </c>
      <c r="D7" s="73" t="inlineStr">
        <is>
          <t>Logging, GuardDuty, Kandji, GitHub Enterprise, scanners — evidence begins accumulating</t>
        </is>
      </c>
    </row>
    <row r="8" ht="34" customHeight="1">
      <c r="A8" s="73" t="inlineStr">
        <is>
          <t>M4</t>
        </is>
      </c>
      <c r="B8" s="73" t="n">
        <v>13</v>
      </c>
      <c r="C8" s="73" t="inlineStr">
        <is>
          <t>First assessment signed</t>
        </is>
      </c>
      <c r="D8" s="73" t="inlineStr">
        <is>
          <t>Risk assessment and control self-assessment complete, CEO signature on both</t>
        </is>
      </c>
    </row>
    <row r="9" ht="34" customHeight="1">
      <c r="A9" s="73" t="inlineStr">
        <is>
          <t>M5</t>
        </is>
      </c>
      <c r="B9" s="73" t="n">
        <v>16</v>
      </c>
      <c r="C9" s="73" t="inlineStr">
        <is>
          <t>Every control at 2 or above</t>
        </is>
      </c>
      <c r="D9" s="73" t="inlineStr">
        <is>
          <t>The Type I bar. Anything still at 0 or 1 is accepted in writing or it blocks</t>
        </is>
      </c>
    </row>
    <row r="10" ht="34" customHeight="1">
      <c r="A10" s="73" t="inlineStr">
        <is>
          <t>M6</t>
        </is>
      </c>
      <c r="B10" s="73" t="n">
        <v>21</v>
      </c>
      <c r="C10" s="73" t="inlineStr">
        <is>
          <t>Type I opinion</t>
        </is>
      </c>
      <c r="D10" s="73" t="inlineStr">
        <is>
          <t>Design tested and reported</t>
        </is>
      </c>
    </row>
    <row r="11" ht="34" customHeight="1">
      <c r="A11" s="73" t="inlineStr">
        <is>
          <t>M7</t>
        </is>
      </c>
      <c r="B11" s="73" t="n">
        <v>22</v>
      </c>
      <c r="C11" s="73" t="inlineStr">
        <is>
          <t>Observation window opens</t>
        </is>
      </c>
      <c r="D11" s="73" t="inlineStr">
        <is>
          <t>Six months minimum. Cadence discipline from here decides the Type II</t>
        </is>
      </c>
    </row>
    <row r="12" ht="34" customHeight="1">
      <c r="A12" s="73" t="inlineStr">
        <is>
          <t>M8</t>
        </is>
      </c>
      <c r="B12" s="73" t="n">
        <v>48</v>
      </c>
      <c r="C12" s="73" t="inlineStr">
        <is>
          <t>Window closes</t>
        </is>
      </c>
      <c r="D12" s="73" t="inlineStr">
        <is>
          <t>Two quarterly cycles and six monthly cycles evidenced</t>
        </is>
      </c>
    </row>
    <row r="13" ht="34" customHeight="1">
      <c r="A13" s="73" t="inlineStr">
        <is>
          <t>M9</t>
        </is>
      </c>
      <c r="B13" s="73" t="n">
        <v>52</v>
      </c>
      <c r="C13" s="73" t="inlineStr">
        <is>
          <t>Type II fieldwork</t>
        </is>
      </c>
      <c r="D13" s="73" t="inlineStr">
        <is>
          <t>Operating effectiveness tested across the window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  <col width="18" customWidth="1" min="3" max="3"/>
    <col width="18" customWidth="1" min="4" max="4"/>
  </cols>
  <sheetData>
    <row r="1">
      <c r="A1" s="71" t="inlineStr">
        <is>
          <t>Blockers to clear first</t>
        </is>
      </c>
    </row>
    <row r="2" ht="26" customHeight="1">
      <c r="A2" s="2" t="inlineStr">
        <is>
          <t>Each of these stops work that cannot start without it. They are sequenced early in the roadmap for that reason.</t>
        </is>
      </c>
    </row>
    <row r="4" ht="28" customHeight="1">
      <c r="A4" s="72" t="inlineStr">
        <is>
          <t>Blocker</t>
        </is>
      </c>
      <c r="B4" s="72" t="inlineStr">
        <is>
          <t>What it stops</t>
        </is>
      </c>
      <c r="C4" s="72" t="inlineStr">
        <is>
          <t>Where it is handled</t>
        </is>
      </c>
      <c r="D4" s="72" t="inlineStr">
        <is>
          <t>Owner</t>
        </is>
      </c>
    </row>
    <row r="5" ht="34" customHeight="1">
      <c r="A5" s="73" t="inlineStr">
        <is>
          <t>HRIS not selected</t>
        </is>
      </c>
      <c r="B5" s="73" t="inlineStr">
        <is>
          <t>Blocks CC6.2-04 and CC6.8-01 — revocation timeliness and endpoint coverage cannot be evidenced without an authoritative personnel population</t>
        </is>
      </c>
      <c r="C5" s="73" t="inlineStr">
        <is>
          <t>WS3 W7–9</t>
        </is>
      </c>
      <c r="D5" s="73" t="inlineStr">
        <is>
          <t>Security Officer</t>
        </is>
      </c>
    </row>
    <row r="6" ht="34" customHeight="1">
      <c r="A6" s="73" t="inlineStr">
        <is>
          <t>GitHub Team plan</t>
        </is>
      </c>
      <c r="B6" s="73" t="inlineStr">
        <is>
          <t>Branch protection on private repositories needs Enterprise. Blocks CC8.1-04, CC4.1-05 and CC5.2-04</t>
        </is>
      </c>
      <c r="C6" s="73" t="inlineStr">
        <is>
          <t>WS3 W5–7</t>
        </is>
      </c>
      <c r="D6" s="73" t="inlineStr">
        <is>
          <t>Security Officer</t>
        </is>
      </c>
    </row>
    <row r="7" ht="34" customHeight="1">
      <c r="A7" s="73" t="inlineStr">
        <is>
          <t>Deficiency destination undecided</t>
        </is>
      </c>
      <c r="B7" s="73" t="inlineStr">
        <is>
          <t>Five policies name five different homes. Blocks a producible deficiency population, so CC4.2 cannot be tested</t>
        </is>
      </c>
      <c r="C7" s="73" t="inlineStr">
        <is>
          <t>WS1 W1–2</t>
        </is>
      </c>
      <c r="D7" s="73" t="inlineStr">
        <is>
          <t>Security Officer</t>
        </is>
      </c>
    </row>
    <row r="8" ht="34" customHeight="1">
      <c r="A8" s="73" t="inlineStr">
        <is>
          <t>POL-PRIV-001 status unknown</t>
        </is>
      </c>
      <c r="B8" s="73" t="inlineStr">
        <is>
          <t>Two customer-facing controls depend on a document not in the library</t>
        </is>
      </c>
      <c r="C8" s="73" t="inlineStr">
        <is>
          <t>WS6 W2</t>
        </is>
      </c>
      <c r="D8" s="73" t="inlineStr">
        <is>
          <t>CEO</t>
        </is>
      </c>
    </row>
    <row r="9" ht="34" customHeight="1">
      <c r="A9" s="73" t="inlineStr">
        <is>
          <t>FRM-CE-001 does not exist</t>
        </is>
      </c>
      <c r="B9" s="73" t="inlineStr">
        <is>
          <t>Four CC1 and CC3 controls reference it as their evidence artifact</t>
        </is>
      </c>
      <c r="C9" s="73" t="inlineStr">
        <is>
          <t>WS5 W11–14</t>
        </is>
      </c>
      <c r="D9" s="73" t="inlineStr">
        <is>
          <t>CEO</t>
        </is>
      </c>
    </row>
    <row r="10" ht="34" customHeight="1">
      <c r="A10" s="73" t="inlineStr">
        <is>
          <t>Incident role model assumes 15–20 people</t>
        </is>
      </c>
      <c r="B10" s="73" t="inlineStr">
        <is>
          <t>POL-IRP-001 §6 cannot be staffed at current headcount; needs external parties named or a recorded limitation</t>
        </is>
      </c>
      <c r="C10" s="73" t="inlineStr">
        <is>
          <t>WS1 W4–6</t>
        </is>
      </c>
      <c r="D10" s="73" t="inlineStr">
        <is>
          <t>CEO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6" customWidth="1" min="3" max="3"/>
  </cols>
  <sheetData>
    <row r="1">
      <c r="A1" s="71" t="inlineStr">
        <is>
          <t>Capacity — the constraint that decides whether the plan holds</t>
        </is>
      </c>
    </row>
    <row r="2" ht="26" customHeight="1">
      <c r="A2" s="2" t="inlineStr">
        <is>
          <t>Tooling shrinks the automated column. It does not shrink the manual one. At two people the risk is not the Type I, it is sustaining cadence across a six-month observation window.</t>
        </is>
      </c>
    </row>
    <row r="4" ht="28" customHeight="1">
      <c r="A4" s="72" t="inlineStr">
        <is>
          <t>Mode</t>
        </is>
      </c>
      <c r="B4" s="72" t="inlineStr">
        <is>
          <t>Controls</t>
        </is>
      </c>
      <c r="C4" s="72" t="inlineStr">
        <is>
          <t>What it means</t>
        </is>
      </c>
    </row>
    <row r="5" ht="34" customHeight="1">
      <c r="A5" s="73" t="inlineStr">
        <is>
          <t>Automated</t>
        </is>
      </c>
      <c r="B5" s="73" t="n">
        <v>115</v>
      </c>
      <c r="C5" s="73" t="inlineStr">
        <is>
          <t>Runs without a person once configured. WS3 is the whole of this.</t>
        </is>
      </c>
    </row>
    <row r="6" ht="34" customHeight="1">
      <c r="A6" s="73" t="inlineStr">
        <is>
          <t>Semi-automated</t>
        </is>
      </c>
      <c r="B6" s="73" t="n">
        <v>11</v>
      </c>
      <c r="C6" s="73" t="inlineStr">
        <is>
          <t>System-assisted; a person still acts. Mostly ticket-driven.</t>
        </is>
      </c>
    </row>
    <row r="7" ht="34" customHeight="1">
      <c r="A7" s="73" t="inlineStr">
        <is>
          <t>Manual</t>
        </is>
      </c>
      <c r="B7" s="73" t="n">
        <v>34</v>
      </c>
      <c r="C7" s="73" t="inlineStr">
        <is>
          <t>Performed by a person. This is the number that headcount limits, and it does not shrink with tooling.</t>
        </is>
      </c>
    </row>
    <row r="8" ht="34" customHeight="1">
      <c r="A8" s="73" t="inlineStr">
        <is>
          <t>Continuous</t>
        </is>
      </c>
      <c r="B8" s="73" t="n">
        <v>38</v>
      </c>
      <c r="C8" s="73" t="inlineStr">
        <is>
          <t>Controls that run all the time. Configuration plus a periodic disposition review.</t>
        </is>
      </c>
    </row>
    <row r="9" ht="34" customHeight="1">
      <c r="A9" s="73" t="inlineStr">
        <is>
          <t>Quarterly</t>
        </is>
      </c>
      <c r="B9" s="73" t="n">
        <v>21</v>
      </c>
      <c r="C9" s="73" t="inlineStr">
        <is>
          <t>Access reviews, change population review, Committee report.</t>
        </is>
      </c>
    </row>
    <row r="10" ht="34" customHeight="1">
      <c r="A10" s="73" t="inlineStr">
        <is>
          <t>Annual</t>
        </is>
      </c>
      <c r="B10" s="73" t="n">
        <v>60</v>
      </c>
      <c r="C10" s="73" t="inlineStr">
        <is>
          <t>The easy majority — but they cluster around the annual assessment.</t>
        </is>
      </c>
    </row>
    <row r="11" ht="34" customHeight="1">
      <c r="A11" s="73" t="inlineStr">
        <is>
          <t>Event-driven</t>
        </is>
      </c>
      <c r="B11" s="73" t="n">
        <v>38</v>
      </c>
      <c r="C11" s="73" t="inlineStr">
        <is>
          <t>Fire on a trigger rather than a date. Intake is where most of them are met.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2026-08-06T15:31:53Z</dcterms:created>
  <dcterms:modified xmlns:dcterms="http://purl.org/dc/terms/" xmlns:xsi="http://www.w3.org/2001/XMLSchema-instance" xsi:type="dcterms:W3CDTF">2026-08-06T15:31:53Z</dcterms:modified>
</cp:coreProperties>
</file>